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Overview" sheetId="1" state="visible" r:id="rId3"/>
    <sheet name="Phase 1 — Foundation" sheetId="2" state="visible" r:id="rId4"/>
    <sheet name="Frontend Integration" sheetId="3" state="visible" r:id="rId5"/>
    <sheet name="Phase 2 — Forecasting" sheetId="4" state="visible" r:id="rId6"/>
    <sheet name="Phase 3 — Pricing" sheetId="5" state="visible" r:id="rId7"/>
    <sheet name="Phase 4 — Simulator" sheetId="6" state="visible" r:id="rId8"/>
    <sheet name="Phase 5 — Advanced" sheetId="7" state="visible" r:id="rId9"/>
    <sheet name="Data Gaps &amp; Blockers" sheetId="8" state="visible" r:id="rId10"/>
    <sheet name="Key Metrics — Verified" sheetId="9" state="visible" r:id="rId11"/>
    <sheet name="Newly Unlocke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<sst xmlns="http://schemas.openxmlformats.org/spreadsheetml/2006/main" count="918" uniqueCount="628">
  <si>
    <t xml:space="preserve">Phase</t>
  </si>
  <si>
    <t xml:space="preserve">Name</t>
  </si>
  <si>
    <t xml:space="preserve">Status</t>
  </si>
  <si>
    <t xml:space="preserve">Feasibility</t>
  </si>
  <si>
    <t xml:space="preserve">Features Total</t>
  </si>
  <si>
    <t xml:space="preserve">Complete</t>
  </si>
  <si>
    <t xml:space="preserve">Partial</t>
  </si>
  <si>
    <t xml:space="preserve">Not Started</t>
  </si>
  <si>
    <t xml:space="preserve">Key Blocker</t>
  </si>
  <si>
    <t xml:space="preserve">Est. Effort</t>
  </si>
  <si>
    <t xml:space="preserve">Priority</t>
  </si>
  <si>
    <t xml:space="preserve">% Complete</t>
  </si>
  <si>
    <t xml:space="preserve">Phase 1</t>
  </si>
  <si>
    <t xml:space="preserve">Foundation — Dashboards &amp; Data Model</t>
  </si>
  <si>
    <t xml:space="preserve">100%</t>
  </si>
  <si>
    <t xml:space="preserve">None</t>
  </si>
  <si>
    <t xml:space="preserve">Done</t>
  </si>
  <si>
    <t xml:space="preserve">P0 — Done</t>
  </si>
  <si>
    <t xml:space="preserve">Phase 2</t>
  </si>
  <si>
    <t xml:space="preserve">Margin Forecasting Engine</t>
  </si>
  <si>
    <t xml:space="preserve">85%</t>
  </si>
  <si>
    <t xml:space="preserve">P1 — Done</t>
  </si>
  <si>
    <t xml:space="preserve">Phase 3F</t>
  </si>
  <si>
    <t xml:space="preserve">Frontend Integration (AVANA Port)</t>
  </si>
  <si>
    <t xml:space="preserve">Phase 3</t>
  </si>
  <si>
    <t xml:space="preserve">Pricing Intelligence</t>
  </si>
  <si>
    <t xml:space="preserve">78%</t>
  </si>
  <si>
    <t xml:space="preserve">Rejection codes 2025-only</t>
  </si>
  <si>
    <t xml:space="preserve">4-5 weeks</t>
  </si>
  <si>
    <t xml:space="preserve">P2</t>
  </si>
  <si>
    <t xml:space="preserve">Phase 4</t>
  </si>
  <si>
    <t xml:space="preserve">Shock Pricing Simulator</t>
  </si>
  <si>
    <t xml:space="preserve">90%</t>
  </si>
  <si>
    <t xml:space="preserve">2-3 weeks</t>
  </si>
  <si>
    <t xml:space="preserve">P3</t>
  </si>
  <si>
    <t xml:space="preserve">Phase 5</t>
  </si>
  <si>
    <t xml:space="preserve">Advanced Intelligence</t>
  </si>
  <si>
    <t xml:space="preserve">72%</t>
  </si>
  <si>
    <t xml:space="preserve">Missing engagement data</t>
  </si>
  <si>
    <t xml:space="preserve">4-6 weeks</t>
  </si>
  <si>
    <t xml:space="preserve">P4</t>
  </si>
  <si>
    <t xml:space="preserve">TOTALS</t>
  </si>
  <si>
    <t xml:space="preserve">Task</t>
  </si>
  <si>
    <t xml:space="preserve">Feature</t>
  </si>
  <si>
    <t xml:space="preserve">Verified</t>
  </si>
  <si>
    <t xml:space="preserve">Key Metric</t>
  </si>
  <si>
    <t xml:space="preserve">Actual Value</t>
  </si>
  <si>
    <t xml:space="preserve">Expected</t>
  </si>
  <si>
    <t xml:space="preserve">Notes</t>
  </si>
  <si>
    <t xml:space="preserve">1.1</t>
  </si>
  <si>
    <t xml:space="preserve">Project Setup &amp; Environment</t>
  </si>
  <si>
    <t xml:space="preserve">Yes</t>
  </si>
  <si>
    <t xml:space="preserve">Dependencies installed</t>
  </si>
  <si>
    <t xml:space="preserve">16 packages</t>
  </si>
  <si>
    <t xml:space="preserve">16</t>
  </si>
  <si>
    <t xml:space="preserve">venv needs rebuild on target</t>
  </si>
  <si>
    <t xml:space="preserve">1.2</t>
  </si>
  <si>
    <t xml:space="preserve">PostgreSQL Database Setup</t>
  </si>
  <si>
    <t xml:space="preserve">DB connection</t>
  </si>
  <si>
    <t xml:space="preserve">OK</t>
  </si>
  <si>
    <t xml:space="preserve">User: pryzm, DB: scherzinger_margin_db</t>
  </si>
  <si>
    <t xml:space="preserve">1.3</t>
  </si>
  <si>
    <t xml:space="preserve">Schema &amp; Models (6 tables)</t>
  </si>
  <si>
    <t xml:space="preserve">Tables created</t>
  </si>
  <si>
    <t xml:space="preserve">6</t>
  </si>
  <si>
    <t xml:space="preserve">Alembic migration applied</t>
  </si>
  <si>
    <t xml:space="preserve">1.4</t>
  </si>
  <si>
    <t xml:space="preserve">Data Cleaning Pipeline</t>
  </si>
  <si>
    <t xml:space="preserve">Invoice records</t>
  </si>
  <si>
    <t xml:space="preserve">5,565</t>
  </si>
  <si>
    <t xml:space="preserve">66 quote dupes removed (4,539)</t>
  </si>
  <si>
    <t xml:space="preserve">Data Cleaning — Invoices</t>
  </si>
  <si>
    <t xml:space="preserve">Revenue total</t>
  </si>
  <si>
    <t xml:space="preserve">€24,646,717</t>
  </si>
  <si>
    <t xml:space="preserve">€24,646,718</t>
  </si>
  <si>
    <t xml:space="preserve">All 4 years exact match</t>
  </si>
  <si>
    <t xml:space="preserve">Data Cleaning — Quotes</t>
  </si>
  <si>
    <t xml:space="preserve">Won/Lost</t>
  </si>
  <si>
    <t xml:space="preserve">1,684 / 2,855</t>
  </si>
  <si>
    <t xml:space="preserve">1,733 / 2,872</t>
  </si>
  <si>
    <t xml:space="preserve">Post-dedup counts</t>
  </si>
  <si>
    <t xml:space="preserve">Data Cleaning — Margins</t>
  </si>
  <si>
    <t xml:space="preserve">DB2% divided by 100</t>
  </si>
  <si>
    <t xml:space="preserve">max=1.00</t>
  </si>
  <si>
    <t xml:space="preserve">≤1.50</t>
  </si>
  <si>
    <t xml:space="preserve">Correctly stored as decimal</t>
  </si>
  <si>
    <t xml:space="preserve">Data Cleaning — Rejection Codes</t>
  </si>
  <si>
    <t xml:space="preserve">Case normalized</t>
  </si>
  <si>
    <t xml:space="preserve">11 unique codes</t>
  </si>
  <si>
    <t xml:space="preserve">11+</t>
  </si>
  <si>
    <t xml:space="preserve">P→PR, T→TE mapped</t>
  </si>
  <si>
    <t xml:space="preserve">1.5</t>
  </si>
  <si>
    <t xml:space="preserve">Data Loading Pipeline</t>
  </si>
  <si>
    <t xml:space="preserve">FK integrity</t>
  </si>
  <si>
    <t xml:space="preserve">0 orphans</t>
  </si>
  <si>
    <t xml:space="preserve">0</t>
  </si>
  <si>
    <t xml:space="preserve">All references valid</t>
  </si>
  <si>
    <t xml:space="preserve">1.6</t>
  </si>
  <si>
    <t xml:space="preserve">Quote-to-Invoice Linkage</t>
  </si>
  <si>
    <t xml:space="preserve">Match rate</t>
  </si>
  <si>
    <t xml:space="preserve">89.9%</t>
  </si>
  <si>
    <t xml:space="preserve">~89.3%</t>
  </si>
  <si>
    <t xml:space="preserve">1,378 of 1,533 orders matched</t>
  </si>
  <si>
    <t xml:space="preserve">Linkage — Margin Gap</t>
  </si>
  <si>
    <t xml:space="preserve">Mean gap</t>
  </si>
  <si>
    <t xml:space="preserve">5.4pp</t>
  </si>
  <si>
    <t xml:space="preserve">~3.9pp</t>
  </si>
  <si>
    <t xml:space="preserve">Higher than estimate; outlier-driven</t>
  </si>
  <si>
    <t xml:space="preserve">Linkage — Timing</t>
  </si>
  <si>
    <t xml:space="preserve">Median days</t>
  </si>
  <si>
    <t xml:space="preserve">53 days</t>
  </si>
  <si>
    <t xml:space="preserve">~46 days</t>
  </si>
  <si>
    <t xml:space="preserve">Mean=75, P25=29, P75=93</t>
  </si>
  <si>
    <t xml:space="preserve">1.7</t>
  </si>
  <si>
    <t xml:space="preserve">FastAPI Backend (20 endpoints)</t>
  </si>
  <si>
    <t xml:space="preserve">Endpoints returning 200</t>
  </si>
  <si>
    <t xml:space="preserve">20/20</t>
  </si>
  <si>
    <t xml:space="preserve">20</t>
  </si>
  <si>
    <t xml:space="preserve">Swagger at /docs</t>
  </si>
  <si>
    <t xml:space="preserve">1.8</t>
  </si>
  <si>
    <t xml:space="preserve">Testing Suite</t>
  </si>
  <si>
    <t xml:space="preserve">Tests passing</t>
  </si>
  <si>
    <t xml:space="preserve">38/38</t>
  </si>
  <si>
    <t xml:space="preserve">All</t>
  </si>
  <si>
    <t xml:space="preserve">pytest tests/ -v</t>
  </si>
  <si>
    <t xml:space="preserve">1.9</t>
  </si>
  <si>
    <t xml:space="preserve">Docs &amp; Deployment</t>
  </si>
  <si>
    <t xml:space="preserve">Files created</t>
  </si>
  <si>
    <t xml:space="preserve">README, ER, dict, Docker</t>
  </si>
  <si>
    <t xml:space="preserve">docker-compose.yml included</t>
  </si>
  <si>
    <t xml:space="preserve">—</t>
  </si>
  <si>
    <t xml:space="preserve">Catalog vs Quoted Analysis</t>
  </si>
  <si>
    <t xml:space="preserve">Catalog %</t>
  </si>
  <si>
    <t xml:space="preserve">65% (2025)</t>
  </si>
  <si>
    <t xml:space="preserve">&gt;60%</t>
  </si>
  <si>
    <t xml:space="preserve">Catalog margins lower (60.1% vs 69.5%)</t>
  </si>
  <si>
    <t xml:space="preserve">Price Sensitivity</t>
  </si>
  <si>
    <t xml:space="preserve">p-value</t>
  </si>
  <si>
    <t xml:space="preserve">0.011</t>
  </si>
  <si>
    <t xml:space="preserve">&lt;0.05</t>
  </si>
  <si>
    <t xml:space="preserve">Price-lost 78.9% vs won 74.4%</t>
  </si>
  <si>
    <t xml:space="preserve">Rejection Code Coverage</t>
  </si>
  <si>
    <t xml:space="preserve">2025 coverage</t>
  </si>
  <si>
    <t xml:space="preserve">87.9%</t>
  </si>
  <si>
    <t xml:space="preserve">&gt;80%</t>
  </si>
  <si>
    <t xml:space="preserve">663 of 754 lost quotes coded</t>
  </si>
  <si>
    <t xml:space="preserve">#</t>
  </si>
  <si>
    <t xml:space="preserve">Details</t>
  </si>
  <si>
    <t xml:space="preserve">Key Files</t>
  </si>
  <si>
    <t xml:space="preserve">3F.1</t>
  </si>
  <si>
    <t xml:space="preserve">Copy AVANA Frontend Structure</t>
  </si>
  <si>
    <t xml:space="preserve">Copied src/, package.json, vite.config.js, index.html, .env from AVANA</t>
  </si>
  <si>
    <t xml:space="preserve">package.json, vite.config.js, index.html</t>
  </si>
  <si>
    <t xml:space="preserve">React 19 + Vite 7 + Tailwind 4 + Motion 12 + Recharts 3</t>
  </si>
  <si>
    <t xml:space="preserve">3F.2</t>
  </si>
  <si>
    <t xml:space="preserve">V2 Component Library Port</t>
  </si>
  <si>
    <t xml:space="preserve">KPICardV2, ChartCardV2, AlertCardV2, InsightCardV2, InsightSlideOver, ActivityGridV2, RetentionCardV2, InventoryTableV2</t>
  </si>
  <si>
    <t xml:space="preserve">src/components/v2/*.jsx</t>
  </si>
  <si>
    <t xml:space="preserve">All animation variants, design tokens, hover effects preserved</t>
  </si>
  <si>
    <t xml:space="preserve">3F.3</t>
  </si>
  <si>
    <t xml:space="preserve">Shared Component Library Port</t>
  </si>
  <si>
    <t xml:space="preserve">KPICard, ChartCard, DataTable, StatusBadge, CustomTooltip, InfoButton, Footer, KPIVisuals</t>
  </si>
  <si>
    <t xml:space="preserve">src/components/shared/*.jsx</t>
  </si>
  <si>
    <t xml:space="preserve">CountUp, sparklines, CSV export, pagination, sort all working</t>
  </si>
  <si>
    <t xml:space="preserve">3F.4</t>
  </si>
  <si>
    <t xml:space="preserve">Layout System (Sidebar + Header)</t>
  </si>
  <si>
    <t xml:space="preserve">Collapsible sidebar (80→256px), glass-morphism header, animated grid bg, global chat bar</t>
  </si>
  <si>
    <t xml:space="preserve">Layout.jsx, Sidebar.jsx, Header.jsx, GlobalChatBar.jsx</t>
  </si>
  <si>
    <t xml:space="preserve">Navigation: 9 routes, user card, search index</t>
  </si>
  <si>
    <t xml:space="preserve">3F.5</t>
  </si>
  <si>
    <t xml:space="preserve">Design System &amp; Tokens</t>
  </si>
  <si>
    <t xml:space="preserve">Colors (#0393da primary), Manrope/Inter fonts, card/badge radius, gradients, shadows</t>
  </si>
  <si>
    <t xml:space="preserve">designTokensV2.js, animations.js, index.css</t>
  </si>
  <si>
    <t xml:space="preserve">Exact AVANA palette preserved, branding swapped to Scherzinger</t>
  </si>
  <si>
    <t xml:space="preserve">3F.6</t>
  </si>
  <si>
    <t xml:space="preserve">Static JSON Data Files (12 files)</t>
  </si>
  <si>
    <t xml:space="preserve">dashboard_data, monthly_detail, products, customers_detail, forecasting, inventory_detail, pricing_analysis, price_governance, ml_analytics, pipeline, sales_transactions, cogs_detail</t>
  </si>
  <si>
    <t xml:space="preserve">src/data/*.json</t>
  </si>
  <si>
    <t xml:space="preserve">All use real Scherzinger metrics: €24.6M rev, 967 customers, 1,223 products</t>
  </si>
  <si>
    <t xml:space="preserve">3F.7</t>
  </si>
  <si>
    <t xml:space="preserve">Dashboard Overview (V2)</t>
  </si>
  <si>
    <t xml:space="preserve">4 KPI cards, 3 alert cards, revenue/margin trend chart, commodity group chart, risk distribution, insight cards</t>
  </si>
  <si>
    <t xml:space="preserve">pages/DashboardOverviewV2.jsx</t>
  </si>
  <si>
    <t xml:space="preserve">EUR formatting, Scherzinger data, all animations</t>
  </si>
  <si>
    <t xml:space="preserve">3F.8</t>
  </si>
  <si>
    <t xml:space="preserve">Revenue &amp; Margins Page</t>
  </si>
  <si>
    <t xml:space="preserve">Year filters (2022-2025), margin by commodity, gap analysis, top customers/products tables</t>
  </si>
  <si>
    <t xml:space="preserve">pages/RevenueMargins.jsx</t>
  </si>
  <si>
    <t xml:space="preserve">DB I + DB II margins, catalog vs quoted analysis</t>
  </si>
  <si>
    <t xml:space="preserve">3F.9</t>
  </si>
  <si>
    <t xml:space="preserve">Products &amp; SKUs Page</t>
  </si>
  <si>
    <t xml:space="preserve">Commodity group filters, margin vs revenue scatter, cost trends, margin distribution</t>
  </si>
  <si>
    <t xml:space="preserve">pages/ProductsSKUs.jsx</t>
  </si>
  <si>
    <t xml:space="preserve">Pump product names, 9 commodity groups</t>
  </si>
  <si>
    <t xml:space="preserve">3F.10</t>
  </si>
  <si>
    <t xml:space="preserve">Customers Page</t>
  </si>
  <si>
    <t xml:space="preserve">Risk scoring, revenue concentration (Pareto), churn risk, customer radar chart</t>
  </si>
  <si>
    <t xml:space="preserve">pages/Customers.jsx</t>
  </si>
  <si>
    <t xml:space="preserve">German company names, risk tier badges</t>
  </si>
  <si>
    <t xml:space="preserve">3F.11</t>
  </si>
  <si>
    <t xml:space="preserve">Forecasting Page</t>
  </si>
  <si>
    <t xml:space="preserve">Entity selector, margin forecast chart, Monte Carlo, model accuracy, seasonal patterns</t>
  </si>
  <si>
    <t xml:space="preserve">pages/Forecasting.jsx</t>
  </si>
  <si>
    <t xml:space="preserve">EMA/Linear/Seasonal/Ensemble models</t>
  </si>
  <si>
    <t xml:space="preserve">3F.12</t>
  </si>
  <si>
    <t xml:space="preserve">Cost Intelligence Page (NEW)</t>
  </si>
  <si>
    <t xml:space="preserve">Replaces Inventory page. Cost trends, cost components breakdown, cost by commodity, top risers</t>
  </si>
  <si>
    <t xml:space="preserve">pages/CostIntelligence.jsx</t>
  </si>
  <si>
    <t xml:space="preserve">Cost regime detection: +12-13%/yr then plateau</t>
  </si>
  <si>
    <t xml:space="preserve">3F.13</t>
  </si>
  <si>
    <t xml:space="preserve">Pricing &amp; Quotes Page</t>
  </si>
  <si>
    <t xml:space="preserve">Win rate, margin gap, rejection codes, price sensitivity, price history</t>
  </si>
  <si>
    <t xml:space="preserve">pages/PricingQuotes.jsx (+ PricingFX.jsx)</t>
  </si>
  <si>
    <t xml:space="preserve">Quote-to-actual gap analysis, rejection code distribution</t>
  </si>
  <si>
    <t xml:space="preserve">3F.14</t>
  </si>
  <si>
    <t xml:space="preserve">ML Analytics Page</t>
  </si>
  <si>
    <t xml:space="preserve">Churn prediction, BCG matrix, margin classification, anomaly detection</t>
  </si>
  <si>
    <t xml:space="preserve">pages/MLAnalytics.jsx</t>
  </si>
  <si>
    <t xml:space="preserve">Commodity group quadrant analysis</t>
  </si>
  <si>
    <t xml:space="preserve">3F.15</t>
  </si>
  <si>
    <t xml:space="preserve">AI Insights Page + Chat System</t>
  </si>
  <si>
    <t xml:space="preserve">OpenRouter streaming chat, system prompts, page context, suggested prompts, markdown rendering</t>
  </si>
  <si>
    <t xml:space="preserve">pages/AIInsights.jsx, GlobalChatBar.jsx, ChatContext.jsx</t>
  </si>
  <si>
    <t xml:space="preserve">System prompt updated for Scherzinger pump manufacturing context</t>
  </si>
  <si>
    <t xml:space="preserve">3F.16</t>
  </si>
  <si>
    <t xml:space="preserve">Branding &amp; Utility Updates</t>
  </si>
  <si>
    <t xml:space="preserve">Logo → Scherzinger GmbH, EUR formatting, tracker events, PostHog config, Login page</t>
  </si>
  <si>
    <t xml:space="preserve">Sidebar.jsx, Footer.jsx, formatters.js, tracker.js, Login.jsx</t>
  </si>
  <si>
    <t xml:space="preserve">Design system colors unchanged, only text/branding swapped</t>
  </si>
  <si>
    <t xml:space="preserve">3F.17</t>
  </si>
  <si>
    <t xml:space="preserve">Context &amp; State Management</t>
  </si>
  <si>
    <t xml:space="preserve">ChatContext, UIContext, UserContext — slide-overs, sidebar state, user profile</t>
  </si>
  <si>
    <t xml:space="preserve">src/context/*.jsx</t>
  </si>
  <si>
    <t xml:space="preserve">User: Alex Meier, Head of Analytics</t>
  </si>
  <si>
    <t xml:space="preserve">3F.18</t>
  </si>
  <si>
    <t xml:space="preserve">Admin Panel Port</t>
  </si>
  <si>
    <t xml:space="preserve">AdminLayout, CommandCenter, PageAnalytics, Interactions, ChatIntel, Sessions, Heatmaps, AI Insights</t>
  </si>
  <si>
    <t xml:space="preserve">src/pages/admin/*.jsx, src/components/admin/*.jsx</t>
  </si>
  <si>
    <t xml:space="preserve">Full admin analytics dashboard</t>
  </si>
  <si>
    <t xml:space="preserve">FRONTEND INTEGRATION TOTAL</t>
  </si>
  <si>
    <t xml:space="preserve">18/18 Complete</t>
  </si>
  <si>
    <t xml:space="preserve">100% — All tasks verified and working</t>
  </si>
  <si>
    <t xml:space="preserve">Data Available</t>
  </si>
  <si>
    <t xml:space="preserve">Data Needed</t>
  </si>
  <si>
    <t xml:space="preserve">Key Method</t>
  </si>
  <si>
    <t xml:space="preserve">Deliverable</t>
  </si>
  <si>
    <t xml:space="preserve">Dependencies</t>
  </si>
  <si>
    <t xml:space="preserve">2.1</t>
  </si>
  <si>
    <t xml:space="preserve">Cost Adjustment Model</t>
  </si>
  <si>
    <t xml:space="preserve">4yr HKvoll, HKvar, MatAnteil, FEK per product</t>
  </si>
  <si>
    <t xml:space="preserve">None — ready</t>
  </si>
  <si>
    <t xml:space="preserve">Linear regression + regime detection</t>
  </si>
  <si>
    <t xml:space="preserve">Per-product cost curves, adjustment factors</t>
  </si>
  <si>
    <t xml:space="preserve">3-4 days</t>
  </si>
  <si>
    <t xml:space="preserve">Phase 1 complete</t>
  </si>
  <si>
    <t xml:space="preserve">694 cost trend records, quantity-weighted quarterly averages</t>
  </si>
  <si>
    <t xml:space="preserve">2.2</t>
  </si>
  <si>
    <t xml:space="preserve">Margin Forecast Score</t>
  </si>
  <si>
    <t xml:space="preserve">1,957 quote→invoice links with gap</t>
  </si>
  <si>
    <t xml:space="preserve">XGBoost/Random Forest on gap features</t>
  </si>
  <si>
    <t xml:space="preserve">Predicted actual margin given quoted margin</t>
  </si>
  <si>
    <t xml:space="preserve">4-5 days</t>
  </si>
  <si>
    <t xml:space="preserve">2.1 (cost model)</t>
  </si>
  <si>
    <t xml:space="preserve">1,480 forecasts (EMA+Linear+Seasonal+Ensemble), top 200 customers, 300 products, 9 CGs</t>
  </si>
  <si>
    <t xml:space="preserve">2.3</t>
  </si>
  <si>
    <t xml:space="preserve">Customer Risk Scoring</t>
  </si>
  <si>
    <t xml:space="preserve">787 customers with Q+I data, 116 with 4yr</t>
  </si>
  <si>
    <t xml:space="preserve">RFM scoring + margin trend analysis</t>
  </si>
  <si>
    <t xml:space="preserve">Risk score per customer (1-10)</t>
  </si>
  <si>
    <t xml:space="preserve">2-3 days</t>
  </si>
  <si>
    <t xml:space="preserve">182 customers scored: 17.6% low, 48.4% medium, 33.5% high, 0.5% critical</t>
  </si>
  <si>
    <t xml:space="preserve">2.4</t>
  </si>
  <si>
    <t xml:space="preserve">Product Cost Trends</t>
  </si>
  <si>
    <t xml:space="preserve">80%</t>
  </si>
  <si>
    <t xml:space="preserve">4yr cost data per product, 254 MC-ready</t>
  </si>
  <si>
    <t xml:space="preserve">Time series decomposition</t>
  </si>
  <si>
    <t xml:space="preserve">Cost trajectory per product with regime labels</t>
  </si>
  <si>
    <t xml:space="preserve">Quarterly cost trajectories with change %, 2 extreme swings flagged</t>
  </si>
  <si>
    <t xml:space="preserve">2.5</t>
  </si>
  <si>
    <t xml:space="preserve">Seasonal Patterns</t>
  </si>
  <si>
    <t xml:space="preserve">4 full years monthly data</t>
  </si>
  <si>
    <t xml:space="preserve">Seasonal decomposition (STL)</t>
  </si>
  <si>
    <t xml:space="preserve">Monthly/quarterly seasonality indices</t>
  </si>
  <si>
    <t xml:space="preserve">2 days</t>
  </si>
  <si>
    <t xml:space="preserve">298 patterns: 12 overall + 8 CGs × 12 months + 19 customers. 4yr data = indicative</t>
  </si>
  <si>
    <t xml:space="preserve">2.6</t>
  </si>
  <si>
    <t xml:space="preserve">Commodity Group Benchmarks</t>
  </si>
  <si>
    <t xml:space="preserve">95%</t>
  </si>
  <si>
    <t xml:space="preserve">9 groups, 4yr data each</t>
  </si>
  <si>
    <t xml:space="preserve">Statistical benchmarking</t>
  </si>
  <si>
    <t xml:space="preserve">Margin benchmarks + percentile bands per WG</t>
  </si>
  <si>
    <t xml:space="preserve">1-2 days</t>
  </si>
  <si>
    <t xml:space="preserve">84 benchmarks (8 CGs × annual+quarterly). MBKUEHL excluded (2 records, all DQ issues)</t>
  </si>
  <si>
    <t xml:space="preserve">2.7</t>
  </si>
  <si>
    <t xml:space="preserve">Monte Carlo Simulation</t>
  </si>
  <si>
    <t xml:space="preserve">88%</t>
  </si>
  <si>
    <t xml:space="preserve">254 products with 3yr+ and 5+ records</t>
  </si>
  <si>
    <t xml:space="preserve">Distribution fitting + MC sampling</t>
  </si>
  <si>
    <t xml:space="preserve">Margin probability distributions per product</t>
  </si>
  <si>
    <t xml:space="preserve">2.1, 2.4</t>
  </si>
  <si>
    <t xml:space="preserve">129 simulations: overall + 9 CGs + 50 customers × 3 horizons. Seed=42, reproducible</t>
  </si>
  <si>
    <t xml:space="preserve">2.8</t>
  </si>
  <si>
    <t xml:space="preserve">Backtest Capability</t>
  </si>
  <si>
    <t xml:space="preserve">Train: 2022-2024, Test: 2025 actuals</t>
  </si>
  <si>
    <t xml:space="preserve">Hold-out validation, MAPE measurement</t>
  </si>
  <si>
    <t xml:space="preserve">Forecast accuracy report with MAPE</t>
  </si>
  <si>
    <t xml:space="preserve">2.2, 2.7</t>
  </si>
  <si>
    <t xml:space="preserve">43 backtests: EMA(21), Linear(18), Seasonal(4). Walk-forward validation, 3-month folds</t>
  </si>
  <si>
    <t xml:space="preserve">Blocker</t>
  </si>
  <si>
    <t xml:space="preserve">3.1</t>
  </si>
  <si>
    <t xml:space="preserve">Price Optimization Engine</t>
  </si>
  <si>
    <t xml:space="preserve">70%</t>
  </si>
  <si>
    <t xml:space="preserve">Rejection codes (2025), margin data</t>
  </si>
  <si>
    <t xml:space="preserve">More years of codes</t>
  </si>
  <si>
    <t xml:space="preserve">Only 1yr of code data</t>
  </si>
  <si>
    <t xml:space="preserve">Optimization with elasticity constraints</t>
  </si>
  <si>
    <t xml:space="preserve">Suggested price ranges per product</t>
  </si>
  <si>
    <t xml:space="preserve">Depends on Phase 2 cost model</t>
  </si>
  <si>
    <t xml:space="preserve">3.2</t>
  </si>
  <si>
    <t xml:space="preserve">Win Probability Model</t>
  </si>
  <si>
    <t xml:space="preserve">4,539 quotes with outcomes, codes (2025)</t>
  </si>
  <si>
    <t xml:space="preserve">None — ready for MVP</t>
  </si>
  <si>
    <t xml:space="preserve">Logistic regression / XGBoost classifier</t>
  </si>
  <si>
    <t xml:space="preserve">Win probability score per quote</t>
  </si>
  <si>
    <t xml:space="preserve">PA/PR vs other codes = significant predictor</t>
  </si>
  <si>
    <t xml:space="preserve">3.3</t>
  </si>
  <si>
    <t xml:space="preserve">Price Elasticity Analysis</t>
  </si>
  <si>
    <t xml:space="preserve">68%</t>
  </si>
  <si>
    <t xml:space="preserve">PA+PR losses (85 records, €604K)</t>
  </si>
  <si>
    <t xml:space="preserve">Larger sample over time</t>
  </si>
  <si>
    <t xml:space="preserve">Small 2025 sample</t>
  </si>
  <si>
    <t xml:space="preserve">Elasticity curve from won vs price-lost margins</t>
  </si>
  <si>
    <t xml:space="preserve">Price sensitivity curves per segment</t>
  </si>
  <si>
    <t xml:space="preserve">Won 74.4% vs price-lost 78.9%, p=0.011</t>
  </si>
  <si>
    <t xml:space="preserve">3.4</t>
  </si>
  <si>
    <t xml:space="preserve">Floor Price Calculator</t>
  </si>
  <si>
    <t xml:space="preserve">4yr cost data, HKvoll trends</t>
  </si>
  <si>
    <t xml:space="preserve">Cost floor + target margin + buffer</t>
  </si>
  <si>
    <t xml:space="preserve">Minimum price per product/customer</t>
  </si>
  <si>
    <t xml:space="preserve">Straightforward with Phase 2 cost curves</t>
  </si>
  <si>
    <t xml:space="preserve">3.5</t>
  </si>
  <si>
    <t xml:space="preserve">Customer Willingness-to-Pay</t>
  </si>
  <si>
    <t xml:space="preserve">65%</t>
  </si>
  <si>
    <t xml:space="preserve">Rejection patterns by customer (2025)</t>
  </si>
  <si>
    <t xml:space="preserve">Multi-year patterns</t>
  </si>
  <si>
    <t xml:space="preserve">1yr of codes only</t>
  </si>
  <si>
    <t xml:space="preserve">WTP estimation from rejection distributions</t>
  </si>
  <si>
    <t xml:space="preserve">WTP bands per customer segment</t>
  </si>
  <si>
    <t xml:space="preserve">KE code = market pressure signal</t>
  </si>
  <si>
    <t xml:space="preserve">3.6</t>
  </si>
  <si>
    <t xml:space="preserve">Competitive Positioning</t>
  </si>
  <si>
    <t xml:space="preserve">35%</t>
  </si>
  <si>
    <t xml:space="preserve">PA code: 69 records, €541K</t>
  </si>
  <si>
    <t xml:space="preserve">Competitor price data</t>
  </si>
  <si>
    <t xml:space="preserve">No competitor prices</t>
  </si>
  <si>
    <t xml:space="preserve">Market positioning from PA loss patterns</t>
  </si>
  <si>
    <t xml:space="preserve">Competitive gap estimates</t>
  </si>
  <si>
    <t xml:space="preserve">Lowest feasibility — major data gap</t>
  </si>
  <si>
    <t xml:space="preserve">3.7</t>
  </si>
  <si>
    <t xml:space="preserve">Lost Opportunity Analysis</t>
  </si>
  <si>
    <t xml:space="preserve">Full 2025 codes: €604K price, €1.3M no-response</t>
  </si>
  <si>
    <t xml:space="preserve">Revenue attribution by loss category</t>
  </si>
  <si>
    <t xml:space="preserve">Lost revenue dashboard by reason</t>
  </si>
  <si>
    <t xml:space="preserve">NEW feature unlocked by codes</t>
  </si>
  <si>
    <t xml:space="preserve">4.1</t>
  </si>
  <si>
    <t xml:space="preserve">Material Cost Shock</t>
  </si>
  <si>
    <t xml:space="preserve">92%</t>
  </si>
  <si>
    <t xml:space="preserve">4yr MatAnteil: €182→€212/unit</t>
  </si>
  <si>
    <t xml:space="preserve">Sensitivity analysis on material %</t>
  </si>
  <si>
    <t xml:space="preserve">What-if: material +X% → margin impact</t>
  </si>
  <si>
    <t xml:space="preserve">4.2</t>
  </si>
  <si>
    <t xml:space="preserve">Labor Cost Shock</t>
  </si>
  <si>
    <t xml:space="preserve">4yr FEK: €155→€177/unit</t>
  </si>
  <si>
    <t xml:space="preserve">Sensitivity on labor component</t>
  </si>
  <si>
    <t xml:space="preserve">What-if: labor +X% → margin impact</t>
  </si>
  <si>
    <t xml:space="preserve">Plateau visible 2024-25</t>
  </si>
  <si>
    <t xml:space="preserve">4.3</t>
  </si>
  <si>
    <t xml:space="preserve">Outsourcing Shock</t>
  </si>
  <si>
    <t xml:space="preserve">4yr FV (outsourcing) component</t>
  </si>
  <si>
    <t xml:space="preserve">Sensitivity on outsourcing %</t>
  </si>
  <si>
    <t xml:space="preserve">What-if: outsourcing +X% → margin impact</t>
  </si>
  <si>
    <t xml:space="preserve">4.4</t>
  </si>
  <si>
    <t xml:space="preserve">Volume Scenarios</t>
  </si>
  <si>
    <t xml:space="preserve">4yr volume + revenue data</t>
  </si>
  <si>
    <t xml:space="preserve">Volume-margin relationship modeling</t>
  </si>
  <si>
    <t xml:space="preserve">Revenue/margin at different volume levels</t>
  </si>
  <si>
    <t xml:space="preserve">Fully achievable</t>
  </si>
  <si>
    <t xml:space="preserve">4.5</t>
  </si>
  <si>
    <t xml:space="preserve">Combined Stress Test</t>
  </si>
  <si>
    <t xml:space="preserve">All cost components + volume</t>
  </si>
  <si>
    <t xml:space="preserve">Multi-factor scenario engine</t>
  </si>
  <si>
    <t xml:space="preserve">Combined shock dashboard</t>
  </si>
  <si>
    <t xml:space="preserve">Material + labor + volume together</t>
  </si>
  <si>
    <t xml:space="preserve">4.6</t>
  </si>
  <si>
    <t xml:space="preserve">254 products with variance data</t>
  </si>
  <si>
    <t xml:space="preserve">Distribution fitting + sampling</t>
  </si>
  <si>
    <t xml:space="preserve">Probability-weighted margin outcomes</t>
  </si>
  <si>
    <t xml:space="preserve">Requires Phase 2.7</t>
  </si>
  <si>
    <t xml:space="preserve">4.7</t>
  </si>
  <si>
    <t xml:space="preserve">Break-even Analysis</t>
  </si>
  <si>
    <t xml:space="preserve">Full cost structure per product</t>
  </si>
  <si>
    <t xml:space="preserve">Cost-volume-profit analysis</t>
  </si>
  <si>
    <t xml:space="preserve">Break-even volumes per product/customer</t>
  </si>
  <si>
    <t xml:space="preserve">Straightforward</t>
  </si>
  <si>
    <t xml:space="preserve">4.8</t>
  </si>
  <si>
    <t xml:space="preserve">Regime-Based Scenarios</t>
  </si>
  <si>
    <t xml:space="preserve">Two regimes: spike (22-24) vs plateau (24-25)</t>
  </si>
  <si>
    <t xml:space="preserve">Regime switching model</t>
  </si>
  <si>
    <t xml:space="preserve">Scenario engine with regime selection</t>
  </si>
  <si>
    <t xml:space="preserve">NEW feature from 4yr data</t>
  </si>
  <si>
    <t xml:space="preserve">5.1</t>
  </si>
  <si>
    <t xml:space="preserve">Quote-to-Cash Predictor</t>
  </si>
  <si>
    <t xml:space="preserve">1,292 linked records with timing</t>
  </si>
  <si>
    <t xml:space="preserve">Regression on timing features</t>
  </si>
  <si>
    <t xml:space="preserve">Predicted days from quote to cash</t>
  </si>
  <si>
    <t xml:space="preserve">NEWLY UNLOCKED. Median 53d, Mean 75d</t>
  </si>
  <si>
    <t xml:space="preserve">5.2</t>
  </si>
  <si>
    <t xml:space="preserve">Customer Lifetime Value</t>
  </si>
  <si>
    <t xml:space="preserve">82%</t>
  </si>
  <si>
    <t xml:space="preserve">116 customers with 4yr history</t>
  </si>
  <si>
    <t xml:space="preserve">CLV model (BG/NBD + Gamma-Gamma)</t>
  </si>
  <si>
    <t xml:space="preserve">CLV score per customer</t>
  </si>
  <si>
    <t xml:space="preserve">4yr history enables proper CLV</t>
  </si>
  <si>
    <t xml:space="preserve">5.3</t>
  </si>
  <si>
    <t xml:space="preserve">Product Profitability Optimizer</t>
  </si>
  <si>
    <t xml:space="preserve">4yr product margins + 7 pump specs</t>
  </si>
  <si>
    <t xml:space="preserve">Portfolio optimization</t>
  </si>
  <si>
    <t xml:space="preserve">Product mix recommendations</t>
  </si>
  <si>
    <t xml:space="preserve">5.4</t>
  </si>
  <si>
    <t xml:space="preserve">Real-time Margin Alerts</t>
  </si>
  <si>
    <t xml:space="preserve">4yr historical baselines</t>
  </si>
  <si>
    <t xml:space="preserve">Statistical process control</t>
  </si>
  <si>
    <t xml:space="preserve">Alert system for margin anomalies</t>
  </si>
  <si>
    <t xml:space="preserve">5.5</t>
  </si>
  <si>
    <t xml:space="preserve">Customer Churn Prediction</t>
  </si>
  <si>
    <t xml:space="preserve">55%</t>
  </si>
  <si>
    <t xml:space="preserve">448 churn candidates, RFM data</t>
  </si>
  <si>
    <t xml:space="preserve">No engagement data</t>
  </si>
  <si>
    <t xml:space="preserve">Survival analysis on purchase gaps</t>
  </si>
  <si>
    <t xml:space="preserve">Churn risk score per customer</t>
  </si>
  <si>
    <t xml:space="preserve">Missing CRM/engagement data limits accuracy</t>
  </si>
  <si>
    <t xml:space="preserve">5.6</t>
  </si>
  <si>
    <t xml:space="preserve">Cross-sell/Upsell Model</t>
  </si>
  <si>
    <t xml:space="preserve">831 products × 787 customers matrix</t>
  </si>
  <si>
    <t xml:space="preserve">Sparse matrix</t>
  </si>
  <si>
    <t xml:space="preserve">Collaborative filtering</t>
  </si>
  <si>
    <t xml:space="preserve">Product recommendations per customer</t>
  </si>
  <si>
    <t xml:space="preserve">5.7</t>
  </si>
  <si>
    <t xml:space="preserve">Natural Language Insights</t>
  </si>
  <si>
    <t xml:space="preserve">All analytical outputs</t>
  </si>
  <si>
    <t xml:space="preserve">LLM-based narrative generation</t>
  </si>
  <si>
    <t xml:space="preserve">Auto-generated insight summaries</t>
  </si>
  <si>
    <t xml:space="preserve">5.8</t>
  </si>
  <si>
    <t xml:space="preserve">Anomaly Detection</t>
  </si>
  <si>
    <t xml:space="preserve">4yr baselines for all metrics</t>
  </si>
  <si>
    <t xml:space="preserve">Isolation forest / Z-score</t>
  </si>
  <si>
    <t xml:space="preserve">Anomaly alerts with explanations</t>
  </si>
  <si>
    <t xml:space="preserve">Cost regime detection included</t>
  </si>
  <si>
    <t xml:space="preserve">Data Gap</t>
  </si>
  <si>
    <t xml:space="preserve">Phases Affected</t>
  </si>
  <si>
    <t xml:space="preserve">Current Workaround</t>
  </si>
  <si>
    <t xml:space="preserve">Impact Level</t>
  </si>
  <si>
    <t xml:space="preserve">Feasibility Without It</t>
  </si>
  <si>
    <t xml:space="preserve">Resolution Path</t>
  </si>
  <si>
    <t xml:space="preserve">Competitor prices</t>
  </si>
  <si>
    <t xml:space="preserve">Phase 3 (competitive positioning at 35%)</t>
  </si>
  <si>
    <t xml:space="preserve">PA code shows €541K lost, but no price data</t>
  </si>
  <si>
    <t xml:space="preserve">High</t>
  </si>
  <si>
    <t xml:space="preserve">35% for competitive features</t>
  </si>
  <si>
    <t xml:space="preserve">Partner with sales for competitive intel</t>
  </si>
  <si>
    <t xml:space="preserve">Customer hierarchy (parent/subsidiary)</t>
  </si>
  <si>
    <t xml:space="preserve">Phase 3 (customer WTP), Phase 5 (CLV)</t>
  </si>
  <si>
    <t xml:space="preserve">Firma ID only, no grouping</t>
  </si>
  <si>
    <t xml:space="preserve">65% for customer WTP</t>
  </si>
  <si>
    <t xml:space="preserve">ERP or CRM integration</t>
  </si>
  <si>
    <t xml:space="preserve">Customer industry/region</t>
  </si>
  <si>
    <t xml:space="preserve">Phase 2-3 (segmentation)</t>
  </si>
  <si>
    <t xml:space="preserve">Infer from product mix patterns</t>
  </si>
  <si>
    <t xml:space="preserve">Medium</t>
  </si>
  <si>
    <t xml:space="preserve">Can segment by product, not industry</t>
  </si>
  <si>
    <t xml:space="preserve">CRM enrichment or manual tagging</t>
  </si>
  <si>
    <t xml:space="preserve">Material BOM breakdown</t>
  </si>
  <si>
    <t xml:space="preserve">Phase 4 (material-specific shocks)</t>
  </si>
  <si>
    <t xml:space="preserve">Aggregate MatAnteil only</t>
  </si>
  <si>
    <t xml:space="preserve">88% for material shock (aggregate)</t>
  </si>
  <si>
    <t xml:space="preserve">7 pump specs have partial data</t>
  </si>
  <si>
    <t xml:space="preserve">Rejection codes pre-2025</t>
  </si>
  <si>
    <t xml:space="preserve">Phase 3 (historical price analysis)</t>
  </si>
  <si>
    <t xml:space="preserve">2022-2024 = mostly 'KA' (no info)</t>
  </si>
  <si>
    <t xml:space="preserve">Low</t>
  </si>
  <si>
    <t xml:space="preserve">Data grows naturally over time</t>
  </si>
  <si>
    <t xml:space="preserve">Will improve as 2026 data arrives</t>
  </si>
  <si>
    <t xml:space="preserve">Supplier price indices</t>
  </si>
  <si>
    <t xml:space="preserve">Phase 2 (external cost forecast)</t>
  </si>
  <si>
    <t xml:space="preserve">Internal cost trends (4yr)</t>
  </si>
  <si>
    <t xml:space="preserve">80% using internal trends only</t>
  </si>
  <si>
    <t xml:space="preserve">Subscribe to industry indices</t>
  </si>
  <si>
    <t xml:space="preserve">CRM engagement data</t>
  </si>
  <si>
    <t xml:space="preserve">Phase 5 (churn prediction at 55%)</t>
  </si>
  <si>
    <t xml:space="preserve">RFM from transactions only</t>
  </si>
  <si>
    <t xml:space="preserve">55% for churn, 68% for cross-sell</t>
  </si>
  <si>
    <t xml:space="preserve">CRM integration</t>
  </si>
  <si>
    <t xml:space="preserve">Category</t>
  </si>
  <si>
    <t xml:space="preserve">Metric</t>
  </si>
  <si>
    <t xml:space="preserve">2022</t>
  </si>
  <si>
    <t xml:space="preserve">2023</t>
  </si>
  <si>
    <t xml:space="preserve">2024</t>
  </si>
  <si>
    <t xml:space="preserve">2025</t>
  </si>
  <si>
    <t xml:space="preserve">Overall</t>
  </si>
  <si>
    <t xml:space="preserve">Source</t>
  </si>
  <si>
    <t xml:space="preserve">Revenue</t>
  </si>
  <si>
    <t xml:space="preserve">Invoice Revenue (€)</t>
  </si>
  <si>
    <t xml:space="preserve">invoices_clean.parquet</t>
  </si>
  <si>
    <t xml:space="preserve">Invoice Records</t>
  </si>
  <si>
    <t xml:space="preserve">Margins</t>
  </si>
  <si>
    <t xml:space="preserve">DB2 Margin (weighted avg)</t>
  </si>
  <si>
    <t xml:space="preserve">63.6%</t>
  </si>
  <si>
    <t xml:space="preserve">63.8%</t>
  </si>
  <si>
    <t xml:space="preserve">62.2%</t>
  </si>
  <si>
    <t xml:space="preserve">60.6%</t>
  </si>
  <si>
    <t xml:space="preserve">64.8%</t>
  </si>
  <si>
    <t xml:space="preserve">Margin Gap (quoted - actual)</t>
  </si>
  <si>
    <t xml:space="preserve">4.2pp</t>
  </si>
  <si>
    <t xml:space="preserve">5.6pp</t>
  </si>
  <si>
    <t xml:space="preserve">6.4pp</t>
  </si>
  <si>
    <t xml:space="preserve">5.3pp</t>
  </si>
  <si>
    <t xml:space="preserve">linkage_report.txt</t>
  </si>
  <si>
    <t xml:space="preserve">Quotes</t>
  </si>
  <si>
    <t xml:space="preserve">Total Quotes</t>
  </si>
  <si>
    <t xml:space="preserve">quotes_clean.parquet (post-dedup)</t>
  </si>
  <si>
    <t xml:space="preserve">Won</t>
  </si>
  <si>
    <t xml:space="preserve">quotes_clean.parquet</t>
  </si>
  <si>
    <t xml:space="preserve">Lost</t>
  </si>
  <si>
    <t xml:space="preserve">Win Rate</t>
  </si>
  <si>
    <t xml:space="preserve">36.5%</t>
  </si>
  <si>
    <t xml:space="preserve">34.3%</t>
  </si>
  <si>
    <t xml:space="preserve">39.0%</t>
  </si>
  <si>
    <t xml:space="preserve">38.5%</t>
  </si>
  <si>
    <t xml:space="preserve">37.1%</t>
  </si>
  <si>
    <t xml:space="preserve">Linkage</t>
  </si>
  <si>
    <t xml:space="preserve">Match Rate</t>
  </si>
  <si>
    <t xml:space="preserve">Links Created</t>
  </si>
  <si>
    <t xml:space="preserve">Median Days to Invoice</t>
  </si>
  <si>
    <t xml:space="preserve">Pricing</t>
  </si>
  <si>
    <t xml:space="preserve">Won Margin (2025)</t>
  </si>
  <si>
    <t xml:space="preserve">74.4%</t>
  </si>
  <si>
    <t xml:space="preserve">Price-Lost Margin (PA+PR, 2025)</t>
  </si>
  <si>
    <t xml:space="preserve">78.9%</t>
  </si>
  <si>
    <t xml:space="preserve">t-test p-value</t>
  </si>
  <si>
    <t xml:space="preserve">scipy.stats</t>
  </si>
  <si>
    <t xml:space="preserve">Price-Lost Count (2025)</t>
  </si>
  <si>
    <t xml:space="preserve">85 (€604K)</t>
  </si>
  <si>
    <t xml:space="preserve">Catalog</t>
  </si>
  <si>
    <t xml:space="preserve">Catalog % of Orders</t>
  </si>
  <si>
    <t xml:space="preserve">69%</t>
  </si>
  <si>
    <t xml:space="preserve">67%</t>
  </si>
  <si>
    <t xml:space="preserve">cross-join analysis</t>
  </si>
  <si>
    <t xml:space="preserve">Catalog Margin</t>
  </si>
  <si>
    <t xml:space="preserve">63.4%</t>
  </si>
  <si>
    <t xml:space="preserve">62.9%</t>
  </si>
  <si>
    <t xml:space="preserve">60.1%</t>
  </si>
  <si>
    <t xml:space="preserve">Quoted Margin</t>
  </si>
  <si>
    <t xml:space="preserve">71.2%</t>
  </si>
  <si>
    <t xml:space="preserve">69.5%</t>
  </si>
  <si>
    <t xml:space="preserve">70.3%</t>
  </si>
  <si>
    <t xml:space="preserve">Quality</t>
  </si>
  <si>
    <t xml:space="preserve">Rejection Code Coverage (2025 lost)</t>
  </si>
  <si>
    <t xml:space="preserve">Invoice DQ Issues</t>
  </si>
  <si>
    <t xml:space="preserve">53 (0.95%)</t>
  </si>
  <si>
    <t xml:space="preserve">Unique Customers</t>
  </si>
  <si>
    <t xml:space="preserve">customers.parquet</t>
  </si>
  <si>
    <t xml:space="preserve">Unique Products</t>
  </si>
  <si>
    <t xml:space="preserve">products.parquet</t>
  </si>
  <si>
    <t xml:space="preserve">DB Tables Total</t>
  </si>
  <si>
    <t xml:space="preserve">Phase 2 migration</t>
  </si>
  <si>
    <t xml:space="preserve">Tests Passing</t>
  </si>
  <si>
    <t xml:space="preserve">76/76</t>
  </si>
  <si>
    <t xml:space="preserve">New API Endpoints</t>
  </si>
  <si>
    <t xml:space="preserve">FastAPI routers</t>
  </si>
  <si>
    <t xml:space="preserve">Forecast Records</t>
  </si>
  <si>
    <t xml:space="preserve">margin_forecasts table</t>
  </si>
  <si>
    <t xml:space="preserve">Risk Scores Computed</t>
  </si>
  <si>
    <t xml:space="preserve">customer_risk_scores table</t>
  </si>
  <si>
    <t xml:space="preserve">Cost Trend Records</t>
  </si>
  <si>
    <t xml:space="preserve">product_cost_trends table</t>
  </si>
  <si>
    <t xml:space="preserve">seasonal_patterns table</t>
  </si>
  <si>
    <t xml:space="preserve">Commodity Benchmarks</t>
  </si>
  <si>
    <t xml:space="preserve">commodity_benchmarks table</t>
  </si>
  <si>
    <t xml:space="preserve">Monte Carlo Simulations</t>
  </si>
  <si>
    <t xml:space="preserve">monte_carlo_results table</t>
  </si>
  <si>
    <t xml:space="preserve">Backtest Results</t>
  </si>
  <si>
    <t xml:space="preserve">backtest_results table</t>
  </si>
  <si>
    <t xml:space="preserve">Pipeline Runtime</t>
  </si>
  <si>
    <t xml:space="preserve">~13 seconds</t>
  </si>
  <si>
    <t xml:space="preserve">scripts/run_phase2.py</t>
  </si>
  <si>
    <t xml:space="preserve">Was Blocked By</t>
  </si>
  <si>
    <t xml:space="preserve">Now Available</t>
  </si>
  <si>
    <t xml:space="preserve">Impact</t>
  </si>
  <si>
    <t xml:space="preserve">Revenue Visibility</t>
  </si>
  <si>
    <t xml:space="preserve">Quote-to-Order Linkage</t>
  </si>
  <si>
    <t xml:space="preserve">No mapping field</t>
  </si>
  <si>
    <t xml:space="preserve">Auftrag field: 89.9% match</t>
  </si>
  <si>
    <t xml:space="preserve">Eliminates fuzzy matching</t>
  </si>
  <si>
    <t xml:space="preserve">€24.6M</t>
  </si>
  <si>
    <t xml:space="preserve">Quote-to-Cash Timing</t>
  </si>
  <si>
    <t xml:space="preserve">No linkage</t>
  </si>
  <si>
    <t xml:space="preserve">1,957 links, median 53 days</t>
  </si>
  <si>
    <t xml:space="preserve">Cash flow prediction viable</t>
  </si>
  <si>
    <t xml:space="preserve">Lost Reason Analysis</t>
  </si>
  <si>
    <t xml:space="preserve">No rejection codes</t>
  </si>
  <si>
    <t xml:space="preserve">14 codes, 87.9% fill (2025)</t>
  </si>
  <si>
    <t xml:space="preserve">Pricing intelligence unlocked</t>
  </si>
  <si>
    <t xml:space="preserve">€604K price-lost</t>
  </si>
  <si>
    <t xml:space="preserve">Price Sensitivity Signal</t>
  </si>
  <si>
    <t xml:space="preserve">No data</t>
  </si>
  <si>
    <t xml:space="preserve">p=0.011 (won vs price-lost)</t>
  </si>
  <si>
    <t xml:space="preserve">First real elasticity proof</t>
  </si>
  <si>
    <t xml:space="preserve">Only 3 years of data</t>
  </si>
  <si>
    <t xml:space="preserve">Train 22-24, test 25</t>
  </si>
  <si>
    <t xml:space="preserve">Provable forecast accuracy</t>
  </si>
  <si>
    <t xml:space="preserve">Catalog vs Quoted Split</t>
  </si>
  <si>
    <t xml:space="preserve">65% catalog, lower margins</t>
  </si>
  <si>
    <t xml:space="preserve">New insight for pricing</t>
  </si>
  <si>
    <t xml:space="preserve">€4.1M catalog (2025)</t>
  </si>
  <si>
    <t xml:space="preserve">Cost Regime Detection</t>
  </si>
  <si>
    <t xml:space="preserve">Only 3 years</t>
  </si>
  <si>
    <t xml:space="preserve">+12-13%/yr then plateau +0.5%</t>
  </si>
  <si>
    <t xml:space="preserve">Realistic shock scenarios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</si>
</sst>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D5F5E3"/>
        <bgColor rgb="FFE8F5E9"/>
      </patternFill>
    </fill>
    <fill>
      <patternFill patternType="solid">
        <fgColor rgb="FFF8D7DA"/>
        <bgColor rgb="FFFFEBEE"/>
      </patternFill>
    </fill>
    <fill>
      <patternFill patternType="solid">
        <fgColor rgb="FFD6E4F0"/>
        <bgColor rgb="FFD5F5E3"/>
      </patternFill>
    </fill>
    <fill>
      <patternFill patternType="solid">
        <fgColor rgb="FFE8F8F0"/>
        <bgColor rgb="FFE8F5E9"/>
      </patternFill>
    </fill>
    <fill>
      <patternFill patternType="solid">
        <fgColor rgb="FFFFEBEE"/>
        <bgColor rgb="FFF5F5F5"/>
      </patternFill>
    </fill>
    <fill>
      <patternFill patternType="solid">
        <fgColor rgb="FFFFF8E1"/>
        <bgColor rgb="FFF5F5F5"/>
      </patternFill>
    </fill>
    <fill>
      <patternFill patternType="solid">
        <fgColor rgb="FFF5F5F5"/>
        <bgColor rgb="FFE8F8F0"/>
      </patternFill>
    </fill>
    <fill>
      <patternFill patternType="solid">
        <fgColor rgb="FFE8F5E9"/>
        <bgColor rgb="FFE8F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CCCCC"/>
      <rgbColor rgb="FF808080"/>
      <rgbColor rgb="FF9999FF"/>
      <rgbColor rgb="FF993366"/>
      <rgbColor rgb="FFFFF8E1"/>
      <rgbColor rgb="FFE8F8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5F5E3"/>
      <rgbColor rgb="FFF5F5F5"/>
      <rgbColor rgb="FFD6E4F0"/>
      <rgbColor rgb="FFFFEBEE"/>
      <rgbColor rgb="FFCC99FF"/>
      <rgbColor rgb="FFF8D7DA"/>
      <rgbColor rgb="FF2E75B6"/>
      <rgbColor rgb="FF10B981"/>
      <rgbColor rgb="FF99CC00"/>
      <rgbColor rgb="FFFFCC00"/>
      <rgbColor rgb="FFFF9900"/>
      <rgbColor rgb="FFF57F17"/>
      <rgbColor rgb="FF666699"/>
      <rgbColor rgb="FF969696"/>
      <rgbColor rgb="FF1B3A5C"/>
      <rgbColor rgb="FF2E7D32"/>
      <rgbColor rgb="FF003300"/>
      <rgbColor rgb="FF333300"/>
      <rgbColor rgb="FFC62828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2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3" t="s">
        <v>5</v>
      </c>
      <c r="D2" s="3" t="s">
        <v>14</v>
      </c>
      <c r="E2" s="3" t="n">
        <v>8</v>
      </c>
      <c r="F2" s="3" t="n">
        <v>8</v>
      </c>
      <c r="G2" s="3" t="n">
        <v>0</v>
      </c>
      <c r="H2" s="3" t="n">
        <v>0</v>
      </c>
      <c r="I2" s="3" t="s">
        <v>15</v>
      </c>
      <c r="J2" s="3" t="s">
        <v>16</v>
      </c>
      <c r="K2" s="3" t="s">
        <v>17</v>
      </c>
      <c r="L2" s="4" t="n">
        <f aca="false">IF(E2&gt;0, F2/E2, 0)</f>
        <v>1</v>
      </c>
    </row>
    <row r="3" customFormat="false" ht="15" hidden="false" customHeight="false" outlineLevel="0" collapsed="false">
      <c r="A3" s="2" t="s">
        <v>18</v>
      </c>
      <c r="B3" s="3" t="s">
        <v>19</v>
      </c>
      <c r="C3" s="3" t="s">
        <v>5</v>
      </c>
      <c r="D3" s="3" t="s">
        <v>20</v>
      </c>
      <c r="E3" s="3" t="n">
        <v>8</v>
      </c>
      <c r="F3" s="3" t="n">
        <v>8</v>
      </c>
      <c r="G3" s="3" t="n">
        <v>0</v>
      </c>
      <c r="H3" s="3" t="n">
        <v>0</v>
      </c>
      <c r="I3" s="3" t="s">
        <v>15</v>
      </c>
      <c r="J3" s="3" t="s">
        <v>16</v>
      </c>
      <c r="K3" s="3" t="s">
        <v>21</v>
      </c>
      <c r="L3" s="4" t="n">
        <f aca="false">IF(E3&gt;0, F3/E3, 0)</f>
        <v>1</v>
      </c>
    </row>
    <row r="4" customFormat="false" ht="15" hidden="false" customHeight="false" outlineLevel="0" collapsed="false">
      <c r="A4" s="2" t="s">
        <v>22</v>
      </c>
      <c r="B4" s="5" t="s">
        <v>23</v>
      </c>
      <c r="C4" s="6" t="s">
        <v>5</v>
      </c>
      <c r="D4" s="5" t="s">
        <v>14</v>
      </c>
      <c r="E4" s="5" t="n">
        <v>12</v>
      </c>
      <c r="F4" s="5" t="n">
        <v>12</v>
      </c>
      <c r="G4" s="5" t="n">
        <v>0</v>
      </c>
      <c r="H4" s="5" t="n">
        <v>0</v>
      </c>
      <c r="I4" s="5" t="s">
        <v>15</v>
      </c>
      <c r="J4" s="5" t="s">
        <v>16</v>
      </c>
      <c r="K4" s="5" t="s">
        <v>21</v>
      </c>
      <c r="L4" s="4" t="n">
        <f aca="false">IF(E4&gt;0, F4/E4, 0)</f>
        <v>1</v>
      </c>
    </row>
    <row r="5" customFormat="false" ht="15" hidden="false" customHeight="false" outlineLevel="0" collapsed="false">
      <c r="A5" s="7" t="s">
        <v>24</v>
      </c>
      <c r="B5" s="8" t="s">
        <v>25</v>
      </c>
      <c r="C5" s="8" t="s">
        <v>7</v>
      </c>
      <c r="D5" s="8" t="s">
        <v>26</v>
      </c>
      <c r="E5" s="8" t="n">
        <v>7</v>
      </c>
      <c r="F5" s="8" t="n">
        <v>0</v>
      </c>
      <c r="G5" s="8" t="n">
        <v>0</v>
      </c>
      <c r="H5" s="8" t="n">
        <v>7</v>
      </c>
      <c r="I5" s="8" t="s">
        <v>27</v>
      </c>
      <c r="J5" s="8" t="s">
        <v>28</v>
      </c>
      <c r="K5" s="8" t="s">
        <v>29</v>
      </c>
      <c r="L5" s="9" t="n">
        <f aca="false">IF(E5&gt;0, F5/E5, 0)</f>
        <v>0</v>
      </c>
    </row>
    <row r="6" customFormat="false" ht="15" hidden="false" customHeight="false" outlineLevel="0" collapsed="false">
      <c r="A6" s="7" t="s">
        <v>30</v>
      </c>
      <c r="B6" s="8" t="s">
        <v>31</v>
      </c>
      <c r="C6" s="8" t="s">
        <v>7</v>
      </c>
      <c r="D6" s="8" t="s">
        <v>32</v>
      </c>
      <c r="E6" s="8" t="n">
        <v>8</v>
      </c>
      <c r="F6" s="8" t="n">
        <v>0</v>
      </c>
      <c r="G6" s="8" t="n">
        <v>0</v>
      </c>
      <c r="H6" s="8" t="n">
        <v>8</v>
      </c>
      <c r="I6" s="8" t="s">
        <v>15</v>
      </c>
      <c r="J6" s="8" t="s">
        <v>33</v>
      </c>
      <c r="K6" s="8" t="s">
        <v>34</v>
      </c>
      <c r="L6" s="9" t="n">
        <f aca="false">IF(E6&gt;0, F6/E6, 0)</f>
        <v>0</v>
      </c>
    </row>
    <row r="7" customFormat="false" ht="15" hidden="false" customHeight="false" outlineLevel="0" collapsed="false">
      <c r="A7" s="7" t="s">
        <v>35</v>
      </c>
      <c r="B7" s="8" t="s">
        <v>36</v>
      </c>
      <c r="C7" s="8" t="s">
        <v>7</v>
      </c>
      <c r="D7" s="8" t="s">
        <v>37</v>
      </c>
      <c r="E7" s="8" t="n">
        <v>8</v>
      </c>
      <c r="F7" s="8" t="n">
        <v>0</v>
      </c>
      <c r="G7" s="8" t="n">
        <v>0</v>
      </c>
      <c r="H7" s="8" t="n">
        <v>8</v>
      </c>
      <c r="I7" s="8" t="s">
        <v>38</v>
      </c>
      <c r="J7" s="8" t="s">
        <v>39</v>
      </c>
      <c r="K7" s="8" t="s">
        <v>40</v>
      </c>
      <c r="L7" s="9" t="n">
        <f aca="false">IF(E7&gt;0, F7/E7, 0)</f>
        <v>0</v>
      </c>
    </row>
    <row r="9" customFormat="false" ht="15" hidden="false" customHeight="false" outlineLevel="0" collapsed="false">
      <c r="A9" s="10"/>
      <c r="B9" s="11" t="s">
        <v>41</v>
      </c>
      <c r="C9" s="10"/>
      <c r="D9" s="10"/>
      <c r="E9" s="10" t="n">
        <f aca="false">SUM(E2:E7)</f>
        <v>51</v>
      </c>
      <c r="F9" s="10" t="n">
        <f aca="false">SUM(F2:F7)</f>
        <v>28</v>
      </c>
      <c r="G9" s="10" t="n">
        <f aca="false">SUM(G2:G7)</f>
        <v>0</v>
      </c>
      <c r="H9" s="10" t="n">
        <f aca="false">SUM(H2:H7)</f>
        <v>23</v>
      </c>
      <c r="I9" s="10"/>
      <c r="J9" s="10"/>
      <c r="K9" s="10"/>
      <c r="L9" s="12" t="n">
        <f aca="false">IF(E9&gt;0, F9/E9, 0)</f>
        <v>0.549019607843137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42</v>
      </c>
      <c r="B1" s="1" t="s">
        <v>43</v>
      </c>
      <c r="C1" s="1" t="s">
        <v>2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customFormat="false" ht="26.85" hidden="false" customHeight="false" outlineLevel="0" collapsed="false">
      <c r="A2" s="5" t="s">
        <v>49</v>
      </c>
      <c r="B2" s="5" t="s">
        <v>50</v>
      </c>
      <c r="C2" s="5" t="s">
        <v>5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</row>
    <row r="3" customFormat="false" ht="15" hidden="false" customHeight="false" outlineLevel="0" collapsed="false">
      <c r="A3" s="5" t="s">
        <v>56</v>
      </c>
      <c r="B3" s="5" t="s">
        <v>57</v>
      </c>
      <c r="C3" s="5" t="s">
        <v>5</v>
      </c>
      <c r="D3" s="5" t="s">
        <v>51</v>
      </c>
      <c r="E3" s="5" t="s">
        <v>58</v>
      </c>
      <c r="F3" s="5" t="s">
        <v>59</v>
      </c>
      <c r="G3" s="5" t="s">
        <v>59</v>
      </c>
      <c r="H3" s="5" t="s">
        <v>60</v>
      </c>
    </row>
    <row r="4" customFormat="false" ht="15" hidden="false" customHeight="false" outlineLevel="0" collapsed="false">
      <c r="A4" s="5" t="s">
        <v>61</v>
      </c>
      <c r="B4" s="5" t="s">
        <v>62</v>
      </c>
      <c r="C4" s="5" t="s">
        <v>5</v>
      </c>
      <c r="D4" s="5" t="s">
        <v>51</v>
      </c>
      <c r="E4" s="5" t="s">
        <v>63</v>
      </c>
      <c r="F4" s="5" t="s">
        <v>64</v>
      </c>
      <c r="G4" s="5" t="s">
        <v>64</v>
      </c>
      <c r="H4" s="5" t="s">
        <v>65</v>
      </c>
    </row>
    <row r="5" customFormat="false" ht="15" hidden="false" customHeight="false" outlineLevel="0" collapsed="false">
      <c r="A5" s="5" t="s">
        <v>66</v>
      </c>
      <c r="B5" s="5" t="s">
        <v>67</v>
      </c>
      <c r="C5" s="5" t="s">
        <v>5</v>
      </c>
      <c r="D5" s="5" t="s">
        <v>51</v>
      </c>
      <c r="E5" s="5" t="s">
        <v>68</v>
      </c>
      <c r="F5" s="5" t="s">
        <v>69</v>
      </c>
      <c r="G5" s="5" t="s">
        <v>69</v>
      </c>
      <c r="H5" s="5" t="s">
        <v>70</v>
      </c>
    </row>
    <row r="6" customFormat="false" ht="15" hidden="false" customHeight="false" outlineLevel="0" collapsed="false">
      <c r="A6" s="5" t="s">
        <v>66</v>
      </c>
      <c r="B6" s="5" t="s">
        <v>71</v>
      </c>
      <c r="C6" s="5" t="s">
        <v>5</v>
      </c>
      <c r="D6" s="5" t="s">
        <v>51</v>
      </c>
      <c r="E6" s="5" t="s">
        <v>72</v>
      </c>
      <c r="F6" s="5" t="s">
        <v>73</v>
      </c>
      <c r="G6" s="5" t="s">
        <v>74</v>
      </c>
      <c r="H6" s="5" t="s">
        <v>75</v>
      </c>
    </row>
    <row r="7" customFormat="false" ht="15" hidden="false" customHeight="false" outlineLevel="0" collapsed="false">
      <c r="A7" s="5" t="s">
        <v>66</v>
      </c>
      <c r="B7" s="5" t="s">
        <v>76</v>
      </c>
      <c r="C7" s="5" t="s">
        <v>5</v>
      </c>
      <c r="D7" s="5" t="s">
        <v>51</v>
      </c>
      <c r="E7" s="5" t="s">
        <v>77</v>
      </c>
      <c r="F7" s="5" t="s">
        <v>78</v>
      </c>
      <c r="G7" s="5" t="s">
        <v>79</v>
      </c>
      <c r="H7" s="5" t="s">
        <v>80</v>
      </c>
    </row>
    <row r="8" customFormat="false" ht="15" hidden="false" customHeight="false" outlineLevel="0" collapsed="false">
      <c r="A8" s="5" t="s">
        <v>66</v>
      </c>
      <c r="B8" s="5" t="s">
        <v>81</v>
      </c>
      <c r="C8" s="5" t="s">
        <v>5</v>
      </c>
      <c r="D8" s="5" t="s">
        <v>51</v>
      </c>
      <c r="E8" s="5" t="s">
        <v>82</v>
      </c>
      <c r="F8" s="5" t="s">
        <v>83</v>
      </c>
      <c r="G8" s="5" t="s">
        <v>84</v>
      </c>
      <c r="H8" s="5" t="s">
        <v>85</v>
      </c>
    </row>
    <row r="9" customFormat="false" ht="15" hidden="false" customHeight="false" outlineLevel="0" collapsed="false">
      <c r="A9" s="5" t="s">
        <v>66</v>
      </c>
      <c r="B9" s="5" t="s">
        <v>86</v>
      </c>
      <c r="C9" s="5" t="s">
        <v>5</v>
      </c>
      <c r="D9" s="5" t="s">
        <v>51</v>
      </c>
      <c r="E9" s="5" t="s">
        <v>87</v>
      </c>
      <c r="F9" s="5" t="s">
        <v>88</v>
      </c>
      <c r="G9" s="5" t="s">
        <v>89</v>
      </c>
      <c r="H9" s="5" t="s">
        <v>90</v>
      </c>
    </row>
    <row r="10" customFormat="false" ht="15" hidden="false" customHeight="false" outlineLevel="0" collapsed="false">
      <c r="A10" s="5" t="s">
        <v>91</v>
      </c>
      <c r="B10" s="5" t="s">
        <v>92</v>
      </c>
      <c r="C10" s="5" t="s">
        <v>5</v>
      </c>
      <c r="D10" s="5" t="s">
        <v>51</v>
      </c>
      <c r="E10" s="5" t="s">
        <v>93</v>
      </c>
      <c r="F10" s="5" t="s">
        <v>94</v>
      </c>
      <c r="G10" s="5" t="s">
        <v>95</v>
      </c>
      <c r="H10" s="5" t="s">
        <v>96</v>
      </c>
    </row>
    <row r="11" customFormat="false" ht="15" hidden="false" customHeight="false" outlineLevel="0" collapsed="false">
      <c r="A11" s="5" t="s">
        <v>97</v>
      </c>
      <c r="B11" s="5" t="s">
        <v>98</v>
      </c>
      <c r="C11" s="5" t="s">
        <v>5</v>
      </c>
      <c r="D11" s="5" t="s">
        <v>51</v>
      </c>
      <c r="E11" s="5" t="s">
        <v>99</v>
      </c>
      <c r="F11" s="5" t="s">
        <v>100</v>
      </c>
      <c r="G11" s="5" t="s">
        <v>101</v>
      </c>
      <c r="H11" s="5" t="s">
        <v>102</v>
      </c>
    </row>
    <row r="12" customFormat="false" ht="15" hidden="false" customHeight="false" outlineLevel="0" collapsed="false">
      <c r="A12" s="5" t="s">
        <v>97</v>
      </c>
      <c r="B12" s="5" t="s">
        <v>103</v>
      </c>
      <c r="C12" s="5" t="s">
        <v>5</v>
      </c>
      <c r="D12" s="5" t="s">
        <v>51</v>
      </c>
      <c r="E12" s="5" t="s">
        <v>104</v>
      </c>
      <c r="F12" s="5" t="s">
        <v>105</v>
      </c>
      <c r="G12" s="5" t="s">
        <v>106</v>
      </c>
      <c r="H12" s="5" t="s">
        <v>107</v>
      </c>
    </row>
    <row r="13" customFormat="false" ht="15" hidden="false" customHeight="false" outlineLevel="0" collapsed="false">
      <c r="A13" s="5" t="s">
        <v>97</v>
      </c>
      <c r="B13" s="5" t="s">
        <v>108</v>
      </c>
      <c r="C13" s="5" t="s">
        <v>5</v>
      </c>
      <c r="D13" s="5" t="s">
        <v>51</v>
      </c>
      <c r="E13" s="5" t="s">
        <v>109</v>
      </c>
      <c r="F13" s="5" t="s">
        <v>110</v>
      </c>
      <c r="G13" s="5" t="s">
        <v>111</v>
      </c>
      <c r="H13" s="5" t="s">
        <v>112</v>
      </c>
    </row>
    <row r="14" customFormat="false" ht="26.85" hidden="false" customHeight="false" outlineLevel="0" collapsed="false">
      <c r="A14" s="5" t="s">
        <v>113</v>
      </c>
      <c r="B14" s="5" t="s">
        <v>114</v>
      </c>
      <c r="C14" s="5" t="s">
        <v>5</v>
      </c>
      <c r="D14" s="5" t="s">
        <v>51</v>
      </c>
      <c r="E14" s="5" t="s">
        <v>115</v>
      </c>
      <c r="F14" s="5" t="s">
        <v>116</v>
      </c>
      <c r="G14" s="5" t="s">
        <v>117</v>
      </c>
      <c r="H14" s="5" t="s">
        <v>118</v>
      </c>
    </row>
    <row r="15" customFormat="false" ht="15" hidden="false" customHeight="false" outlineLevel="0" collapsed="false">
      <c r="A15" s="5" t="s">
        <v>119</v>
      </c>
      <c r="B15" s="5" t="s">
        <v>120</v>
      </c>
      <c r="C15" s="5" t="s">
        <v>5</v>
      </c>
      <c r="D15" s="5" t="s">
        <v>51</v>
      </c>
      <c r="E15" s="5" t="s">
        <v>121</v>
      </c>
      <c r="F15" s="5" t="s">
        <v>122</v>
      </c>
      <c r="G15" s="5" t="s">
        <v>123</v>
      </c>
      <c r="H15" s="5" t="s">
        <v>124</v>
      </c>
    </row>
    <row r="16" customFormat="false" ht="26.85" hidden="false" customHeight="false" outlineLevel="0" collapsed="false">
      <c r="A16" s="5" t="s">
        <v>125</v>
      </c>
      <c r="B16" s="5" t="s">
        <v>126</v>
      </c>
      <c r="C16" s="5" t="s">
        <v>5</v>
      </c>
      <c r="D16" s="5" t="s">
        <v>51</v>
      </c>
      <c r="E16" s="5" t="s">
        <v>127</v>
      </c>
      <c r="F16" s="5" t="s">
        <v>128</v>
      </c>
      <c r="G16" s="5" t="s">
        <v>123</v>
      </c>
      <c r="H16" s="5" t="s">
        <v>129</v>
      </c>
    </row>
    <row r="17" customFormat="false" ht="15" hidden="false" customHeight="false" outlineLevel="0" collapsed="false">
      <c r="A17" s="5" t="s">
        <v>130</v>
      </c>
      <c r="B17" s="5" t="s">
        <v>131</v>
      </c>
      <c r="C17" s="5" t="s">
        <v>5</v>
      </c>
      <c r="D17" s="5" t="s">
        <v>51</v>
      </c>
      <c r="E17" s="5" t="s">
        <v>132</v>
      </c>
      <c r="F17" s="5" t="s">
        <v>133</v>
      </c>
      <c r="G17" s="5" t="s">
        <v>134</v>
      </c>
      <c r="H17" s="5" t="s">
        <v>135</v>
      </c>
    </row>
    <row r="18" customFormat="false" ht="15" hidden="false" customHeight="false" outlineLevel="0" collapsed="false">
      <c r="A18" s="5" t="s">
        <v>130</v>
      </c>
      <c r="B18" s="5" t="s">
        <v>136</v>
      </c>
      <c r="C18" s="5" t="s">
        <v>5</v>
      </c>
      <c r="D18" s="5" t="s">
        <v>51</v>
      </c>
      <c r="E18" s="5" t="s">
        <v>137</v>
      </c>
      <c r="F18" s="5" t="s">
        <v>138</v>
      </c>
      <c r="G18" s="5" t="s">
        <v>139</v>
      </c>
      <c r="H18" s="5" t="s">
        <v>140</v>
      </c>
    </row>
    <row r="19" customFormat="false" ht="15" hidden="false" customHeight="false" outlineLevel="0" collapsed="false">
      <c r="A19" s="5" t="s">
        <v>130</v>
      </c>
      <c r="B19" s="5" t="s">
        <v>141</v>
      </c>
      <c r="C19" s="5" t="s">
        <v>5</v>
      </c>
      <c r="D19" s="5" t="s">
        <v>51</v>
      </c>
      <c r="E19" s="5" t="s">
        <v>142</v>
      </c>
      <c r="F19" s="5" t="s">
        <v>143</v>
      </c>
      <c r="G19" s="5" t="s">
        <v>144</v>
      </c>
      <c r="H19" s="5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5"/>
    <col collapsed="false" customWidth="true" hidden="false" outlineLevel="0" max="6" min="6" style="0" width="40"/>
    <col collapsed="false" customWidth="true" hidden="false" outlineLevel="0" max="7" min="7" style="0" width="45"/>
  </cols>
  <sheetData>
    <row r="1" customFormat="false" ht="15" hidden="false" customHeight="false" outlineLevel="0" collapsed="false">
      <c r="A1" s="1" t="s">
        <v>146</v>
      </c>
      <c r="B1" s="1" t="s">
        <v>42</v>
      </c>
      <c r="C1" s="1" t="s">
        <v>2</v>
      </c>
      <c r="D1" s="1" t="s">
        <v>44</v>
      </c>
      <c r="E1" s="1" t="s">
        <v>147</v>
      </c>
      <c r="F1" s="1" t="s">
        <v>148</v>
      </c>
      <c r="G1" s="1" t="s">
        <v>48</v>
      </c>
    </row>
    <row r="2" customFormat="false" ht="26.85" hidden="false" customHeight="false" outlineLevel="0" collapsed="false">
      <c r="A2" s="13" t="s">
        <v>149</v>
      </c>
      <c r="B2" s="5" t="s">
        <v>150</v>
      </c>
      <c r="C2" s="5" t="s">
        <v>5</v>
      </c>
      <c r="D2" s="5" t="s">
        <v>51</v>
      </c>
      <c r="E2" s="5" t="s">
        <v>151</v>
      </c>
      <c r="F2" s="5" t="s">
        <v>152</v>
      </c>
      <c r="G2" s="5" t="s">
        <v>153</v>
      </c>
    </row>
    <row r="3" customFormat="false" ht="39.55" hidden="false" customHeight="false" outlineLevel="0" collapsed="false">
      <c r="A3" s="13" t="s">
        <v>154</v>
      </c>
      <c r="B3" s="5" t="s">
        <v>155</v>
      </c>
      <c r="C3" s="5" t="s">
        <v>5</v>
      </c>
      <c r="D3" s="5" t="s">
        <v>51</v>
      </c>
      <c r="E3" s="5" t="s">
        <v>156</v>
      </c>
      <c r="F3" s="5" t="s">
        <v>157</v>
      </c>
      <c r="G3" s="5" t="s">
        <v>158</v>
      </c>
    </row>
    <row r="4" customFormat="false" ht="26.85" hidden="false" customHeight="false" outlineLevel="0" collapsed="false">
      <c r="A4" s="13" t="s">
        <v>159</v>
      </c>
      <c r="B4" s="5" t="s">
        <v>160</v>
      </c>
      <c r="C4" s="5" t="s">
        <v>5</v>
      </c>
      <c r="D4" s="5" t="s">
        <v>51</v>
      </c>
      <c r="E4" s="5" t="s">
        <v>161</v>
      </c>
      <c r="F4" s="5" t="s">
        <v>162</v>
      </c>
      <c r="G4" s="5" t="s">
        <v>163</v>
      </c>
    </row>
    <row r="5" customFormat="false" ht="26.85" hidden="false" customHeight="false" outlineLevel="0" collapsed="false">
      <c r="A5" s="13" t="s">
        <v>164</v>
      </c>
      <c r="B5" s="5" t="s">
        <v>165</v>
      </c>
      <c r="C5" s="5" t="s">
        <v>5</v>
      </c>
      <c r="D5" s="5" t="s">
        <v>51</v>
      </c>
      <c r="E5" s="5" t="s">
        <v>166</v>
      </c>
      <c r="F5" s="5" t="s">
        <v>167</v>
      </c>
      <c r="G5" s="5" t="s">
        <v>168</v>
      </c>
    </row>
    <row r="6" customFormat="false" ht="26.85" hidden="false" customHeight="false" outlineLevel="0" collapsed="false">
      <c r="A6" s="13" t="s">
        <v>169</v>
      </c>
      <c r="B6" s="5" t="s">
        <v>170</v>
      </c>
      <c r="C6" s="5" t="s">
        <v>5</v>
      </c>
      <c r="D6" s="5" t="s">
        <v>51</v>
      </c>
      <c r="E6" s="5" t="s">
        <v>171</v>
      </c>
      <c r="F6" s="5" t="s">
        <v>172</v>
      </c>
      <c r="G6" s="5" t="s">
        <v>173</v>
      </c>
    </row>
    <row r="7" customFormat="false" ht="52.2" hidden="false" customHeight="false" outlineLevel="0" collapsed="false">
      <c r="A7" s="13" t="s">
        <v>174</v>
      </c>
      <c r="B7" s="5" t="s">
        <v>175</v>
      </c>
      <c r="C7" s="5" t="s">
        <v>5</v>
      </c>
      <c r="D7" s="5" t="s">
        <v>51</v>
      </c>
      <c r="E7" s="5" t="s">
        <v>176</v>
      </c>
      <c r="F7" s="5" t="s">
        <v>177</v>
      </c>
      <c r="G7" s="5" t="s">
        <v>178</v>
      </c>
    </row>
    <row r="8" customFormat="false" ht="26.85" hidden="false" customHeight="false" outlineLevel="0" collapsed="false">
      <c r="A8" s="13" t="s">
        <v>179</v>
      </c>
      <c r="B8" s="5" t="s">
        <v>180</v>
      </c>
      <c r="C8" s="5" t="s">
        <v>5</v>
      </c>
      <c r="D8" s="5" t="s">
        <v>51</v>
      </c>
      <c r="E8" s="5" t="s">
        <v>181</v>
      </c>
      <c r="F8" s="5" t="s">
        <v>182</v>
      </c>
      <c r="G8" s="5" t="s">
        <v>183</v>
      </c>
    </row>
    <row r="9" customFormat="false" ht="26.85" hidden="false" customHeight="false" outlineLevel="0" collapsed="false">
      <c r="A9" s="13" t="s">
        <v>184</v>
      </c>
      <c r="B9" s="5" t="s">
        <v>185</v>
      </c>
      <c r="C9" s="5" t="s">
        <v>5</v>
      </c>
      <c r="D9" s="5" t="s">
        <v>51</v>
      </c>
      <c r="E9" s="5" t="s">
        <v>186</v>
      </c>
      <c r="F9" s="5" t="s">
        <v>187</v>
      </c>
      <c r="G9" s="5" t="s">
        <v>188</v>
      </c>
    </row>
    <row r="10" customFormat="false" ht="26.85" hidden="false" customHeight="false" outlineLevel="0" collapsed="false">
      <c r="A10" s="13" t="s">
        <v>189</v>
      </c>
      <c r="B10" s="5" t="s">
        <v>190</v>
      </c>
      <c r="C10" s="5" t="s">
        <v>5</v>
      </c>
      <c r="D10" s="5" t="s">
        <v>51</v>
      </c>
      <c r="E10" s="5" t="s">
        <v>191</v>
      </c>
      <c r="F10" s="5" t="s">
        <v>192</v>
      </c>
      <c r="G10" s="5" t="s">
        <v>193</v>
      </c>
    </row>
    <row r="11" customFormat="false" ht="26.85" hidden="false" customHeight="false" outlineLevel="0" collapsed="false">
      <c r="A11" s="13" t="s">
        <v>194</v>
      </c>
      <c r="B11" s="5" t="s">
        <v>195</v>
      </c>
      <c r="C11" s="5" t="s">
        <v>5</v>
      </c>
      <c r="D11" s="5" t="s">
        <v>51</v>
      </c>
      <c r="E11" s="5" t="s">
        <v>196</v>
      </c>
      <c r="F11" s="5" t="s">
        <v>197</v>
      </c>
      <c r="G11" s="5" t="s">
        <v>198</v>
      </c>
    </row>
    <row r="12" customFormat="false" ht="26.85" hidden="false" customHeight="false" outlineLevel="0" collapsed="false">
      <c r="A12" s="13" t="s">
        <v>199</v>
      </c>
      <c r="B12" s="5" t="s">
        <v>200</v>
      </c>
      <c r="C12" s="5" t="s">
        <v>5</v>
      </c>
      <c r="D12" s="5" t="s">
        <v>51</v>
      </c>
      <c r="E12" s="5" t="s">
        <v>201</v>
      </c>
      <c r="F12" s="5" t="s">
        <v>202</v>
      </c>
      <c r="G12" s="5" t="s">
        <v>203</v>
      </c>
    </row>
    <row r="13" customFormat="false" ht="26.85" hidden="false" customHeight="false" outlineLevel="0" collapsed="false">
      <c r="A13" s="13" t="s">
        <v>204</v>
      </c>
      <c r="B13" s="5" t="s">
        <v>205</v>
      </c>
      <c r="C13" s="5" t="s">
        <v>5</v>
      </c>
      <c r="D13" s="5" t="s">
        <v>51</v>
      </c>
      <c r="E13" s="5" t="s">
        <v>206</v>
      </c>
      <c r="F13" s="5" t="s">
        <v>207</v>
      </c>
      <c r="G13" s="5" t="s">
        <v>208</v>
      </c>
    </row>
    <row r="14" customFormat="false" ht="26.85" hidden="false" customHeight="false" outlineLevel="0" collapsed="false">
      <c r="A14" s="13" t="s">
        <v>209</v>
      </c>
      <c r="B14" s="5" t="s">
        <v>210</v>
      </c>
      <c r="C14" s="5" t="s">
        <v>5</v>
      </c>
      <c r="D14" s="5" t="s">
        <v>51</v>
      </c>
      <c r="E14" s="5" t="s">
        <v>211</v>
      </c>
      <c r="F14" s="5" t="s">
        <v>212</v>
      </c>
      <c r="G14" s="5" t="s">
        <v>213</v>
      </c>
    </row>
    <row r="15" customFormat="false" ht="26.85" hidden="false" customHeight="false" outlineLevel="0" collapsed="false">
      <c r="A15" s="13" t="s">
        <v>214</v>
      </c>
      <c r="B15" s="5" t="s">
        <v>215</v>
      </c>
      <c r="C15" s="5" t="s">
        <v>5</v>
      </c>
      <c r="D15" s="5" t="s">
        <v>51</v>
      </c>
      <c r="E15" s="5" t="s">
        <v>216</v>
      </c>
      <c r="F15" s="5" t="s">
        <v>217</v>
      </c>
      <c r="G15" s="5" t="s">
        <v>218</v>
      </c>
    </row>
    <row r="16" customFormat="false" ht="26.85" hidden="false" customHeight="false" outlineLevel="0" collapsed="false">
      <c r="A16" s="13" t="s">
        <v>219</v>
      </c>
      <c r="B16" s="5" t="s">
        <v>220</v>
      </c>
      <c r="C16" s="5" t="s">
        <v>5</v>
      </c>
      <c r="D16" s="5" t="s">
        <v>51</v>
      </c>
      <c r="E16" s="5" t="s">
        <v>221</v>
      </c>
      <c r="F16" s="5" t="s">
        <v>222</v>
      </c>
      <c r="G16" s="5" t="s">
        <v>223</v>
      </c>
    </row>
    <row r="17" customFormat="false" ht="26.85" hidden="false" customHeight="false" outlineLevel="0" collapsed="false">
      <c r="A17" s="13" t="s">
        <v>224</v>
      </c>
      <c r="B17" s="5" t="s">
        <v>225</v>
      </c>
      <c r="C17" s="5" t="s">
        <v>5</v>
      </c>
      <c r="D17" s="5" t="s">
        <v>51</v>
      </c>
      <c r="E17" s="5" t="s">
        <v>226</v>
      </c>
      <c r="F17" s="5" t="s">
        <v>227</v>
      </c>
      <c r="G17" s="5" t="s">
        <v>228</v>
      </c>
    </row>
    <row r="18" customFormat="false" ht="26.85" hidden="false" customHeight="false" outlineLevel="0" collapsed="false">
      <c r="A18" s="13" t="s">
        <v>229</v>
      </c>
      <c r="B18" s="5" t="s">
        <v>230</v>
      </c>
      <c r="C18" s="5" t="s">
        <v>5</v>
      </c>
      <c r="D18" s="5" t="s">
        <v>51</v>
      </c>
      <c r="E18" s="5" t="s">
        <v>231</v>
      </c>
      <c r="F18" s="5" t="s">
        <v>232</v>
      </c>
      <c r="G18" s="5" t="s">
        <v>233</v>
      </c>
    </row>
    <row r="19" customFormat="false" ht="26.85" hidden="false" customHeight="false" outlineLevel="0" collapsed="false">
      <c r="A19" s="13" t="s">
        <v>234</v>
      </c>
      <c r="B19" s="5" t="s">
        <v>235</v>
      </c>
      <c r="C19" s="5" t="s">
        <v>5</v>
      </c>
      <c r="D19" s="5" t="s">
        <v>51</v>
      </c>
      <c r="E19" s="5" t="s">
        <v>236</v>
      </c>
      <c r="F19" s="5" t="s">
        <v>237</v>
      </c>
      <c r="G19" s="5" t="s">
        <v>238</v>
      </c>
    </row>
    <row r="21" customFormat="false" ht="26.85" hidden="false" customHeight="false" outlineLevel="0" collapsed="false">
      <c r="A21" s="14" t="s">
        <v>130</v>
      </c>
      <c r="B21" s="15" t="s">
        <v>239</v>
      </c>
      <c r="C21" s="16" t="s">
        <v>240</v>
      </c>
      <c r="D21" s="14"/>
      <c r="E21" s="16" t="s">
        <v>241</v>
      </c>
      <c r="F21" s="14"/>
      <c r="G2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32"/>
    <col collapsed="false" customWidth="true" hidden="false" outlineLevel="0" max="8" min="8" style="0" width="38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1" t="s">
        <v>146</v>
      </c>
      <c r="B1" s="1" t="s">
        <v>43</v>
      </c>
      <c r="C1" s="1" t="s">
        <v>2</v>
      </c>
      <c r="D1" s="1" t="s">
        <v>3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9</v>
      </c>
      <c r="J1" s="1" t="s">
        <v>246</v>
      </c>
      <c r="K1" s="1" t="s">
        <v>48</v>
      </c>
    </row>
    <row r="2" customFormat="false" ht="26.85" hidden="false" customHeight="false" outlineLevel="0" collapsed="false">
      <c r="A2" s="5" t="s">
        <v>247</v>
      </c>
      <c r="B2" s="5" t="s">
        <v>248</v>
      </c>
      <c r="C2" s="5" t="s">
        <v>5</v>
      </c>
      <c r="D2" s="5" t="s">
        <v>32</v>
      </c>
      <c r="E2" s="5" t="s">
        <v>249</v>
      </c>
      <c r="F2" s="5" t="s">
        <v>250</v>
      </c>
      <c r="G2" s="5" t="s">
        <v>251</v>
      </c>
      <c r="H2" s="5" t="s">
        <v>252</v>
      </c>
      <c r="I2" s="5" t="s">
        <v>253</v>
      </c>
      <c r="J2" s="5" t="s">
        <v>254</v>
      </c>
      <c r="K2" s="5" t="s">
        <v>255</v>
      </c>
    </row>
    <row r="3" customFormat="false" ht="39.55" hidden="false" customHeight="false" outlineLevel="0" collapsed="false">
      <c r="A3" s="5" t="s">
        <v>256</v>
      </c>
      <c r="B3" s="5" t="s">
        <v>257</v>
      </c>
      <c r="C3" s="5" t="s">
        <v>5</v>
      </c>
      <c r="D3" s="5" t="s">
        <v>20</v>
      </c>
      <c r="E3" s="5" t="s">
        <v>258</v>
      </c>
      <c r="F3" s="5" t="s">
        <v>250</v>
      </c>
      <c r="G3" s="5" t="s">
        <v>259</v>
      </c>
      <c r="H3" s="5" t="s">
        <v>260</v>
      </c>
      <c r="I3" s="5" t="s">
        <v>261</v>
      </c>
      <c r="J3" s="5" t="s">
        <v>262</v>
      </c>
      <c r="K3" s="5" t="s">
        <v>263</v>
      </c>
    </row>
    <row r="4" customFormat="false" ht="26.85" hidden="false" customHeight="false" outlineLevel="0" collapsed="false">
      <c r="A4" s="5" t="s">
        <v>264</v>
      </c>
      <c r="B4" s="5" t="s">
        <v>265</v>
      </c>
      <c r="C4" s="5" t="s">
        <v>5</v>
      </c>
      <c r="D4" s="5" t="s">
        <v>32</v>
      </c>
      <c r="E4" s="5" t="s">
        <v>266</v>
      </c>
      <c r="F4" s="5" t="s">
        <v>250</v>
      </c>
      <c r="G4" s="5" t="s">
        <v>267</v>
      </c>
      <c r="H4" s="5" t="s">
        <v>268</v>
      </c>
      <c r="I4" s="5" t="s">
        <v>269</v>
      </c>
      <c r="J4" s="5" t="s">
        <v>254</v>
      </c>
      <c r="K4" s="5" t="s">
        <v>270</v>
      </c>
    </row>
    <row r="5" customFormat="false" ht="26.85" hidden="false" customHeight="false" outlineLevel="0" collapsed="false">
      <c r="A5" s="5" t="s">
        <v>271</v>
      </c>
      <c r="B5" s="5" t="s">
        <v>272</v>
      </c>
      <c r="C5" s="5" t="s">
        <v>5</v>
      </c>
      <c r="D5" s="5" t="s">
        <v>273</v>
      </c>
      <c r="E5" s="5" t="s">
        <v>274</v>
      </c>
      <c r="F5" s="5" t="s">
        <v>250</v>
      </c>
      <c r="G5" s="5" t="s">
        <v>275</v>
      </c>
      <c r="H5" s="5" t="s">
        <v>276</v>
      </c>
      <c r="I5" s="5" t="s">
        <v>253</v>
      </c>
      <c r="J5" s="5" t="s">
        <v>247</v>
      </c>
      <c r="K5" s="5" t="s">
        <v>277</v>
      </c>
    </row>
    <row r="6" customFormat="false" ht="39.55" hidden="false" customHeight="false" outlineLevel="0" collapsed="false">
      <c r="A6" s="5" t="s">
        <v>278</v>
      </c>
      <c r="B6" s="5" t="s">
        <v>279</v>
      </c>
      <c r="C6" s="5" t="s">
        <v>5</v>
      </c>
      <c r="D6" s="5" t="s">
        <v>32</v>
      </c>
      <c r="E6" s="5" t="s">
        <v>280</v>
      </c>
      <c r="F6" s="5" t="s">
        <v>250</v>
      </c>
      <c r="G6" s="5" t="s">
        <v>281</v>
      </c>
      <c r="H6" s="5" t="s">
        <v>282</v>
      </c>
      <c r="I6" s="5" t="s">
        <v>283</v>
      </c>
      <c r="J6" s="5" t="s">
        <v>254</v>
      </c>
      <c r="K6" s="5" t="s">
        <v>284</v>
      </c>
    </row>
    <row r="7" customFormat="false" ht="39.55" hidden="false" customHeight="false" outlineLevel="0" collapsed="false">
      <c r="A7" s="5" t="s">
        <v>285</v>
      </c>
      <c r="B7" s="5" t="s">
        <v>286</v>
      </c>
      <c r="C7" s="5" t="s">
        <v>5</v>
      </c>
      <c r="D7" s="5" t="s">
        <v>287</v>
      </c>
      <c r="E7" s="5" t="s">
        <v>288</v>
      </c>
      <c r="F7" s="5" t="s">
        <v>250</v>
      </c>
      <c r="G7" s="5" t="s">
        <v>289</v>
      </c>
      <c r="H7" s="5" t="s">
        <v>290</v>
      </c>
      <c r="I7" s="5" t="s">
        <v>291</v>
      </c>
      <c r="J7" s="5" t="s">
        <v>254</v>
      </c>
      <c r="K7" s="5" t="s">
        <v>292</v>
      </c>
    </row>
    <row r="8" customFormat="false" ht="39.55" hidden="false" customHeight="false" outlineLevel="0" collapsed="false">
      <c r="A8" s="5" t="s">
        <v>293</v>
      </c>
      <c r="B8" s="5" t="s">
        <v>294</v>
      </c>
      <c r="C8" s="5" t="s">
        <v>5</v>
      </c>
      <c r="D8" s="5" t="s">
        <v>295</v>
      </c>
      <c r="E8" s="5" t="s">
        <v>296</v>
      </c>
      <c r="F8" s="5" t="s">
        <v>250</v>
      </c>
      <c r="G8" s="5" t="s">
        <v>297</v>
      </c>
      <c r="H8" s="5" t="s">
        <v>298</v>
      </c>
      <c r="I8" s="5" t="s">
        <v>261</v>
      </c>
      <c r="J8" s="5" t="s">
        <v>299</v>
      </c>
      <c r="K8" s="5" t="s">
        <v>300</v>
      </c>
    </row>
    <row r="9" customFormat="false" ht="39.55" hidden="false" customHeight="false" outlineLevel="0" collapsed="false">
      <c r="A9" s="5" t="s">
        <v>301</v>
      </c>
      <c r="B9" s="5" t="s">
        <v>302</v>
      </c>
      <c r="C9" s="5" t="s">
        <v>5</v>
      </c>
      <c r="D9" s="5" t="s">
        <v>20</v>
      </c>
      <c r="E9" s="5" t="s">
        <v>303</v>
      </c>
      <c r="F9" s="5" t="s">
        <v>250</v>
      </c>
      <c r="G9" s="5" t="s">
        <v>304</v>
      </c>
      <c r="H9" s="5" t="s">
        <v>305</v>
      </c>
      <c r="I9" s="5" t="s">
        <v>269</v>
      </c>
      <c r="J9" s="5" t="s">
        <v>306</v>
      </c>
      <c r="K9" s="5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7F17"/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38"/>
    <col collapsed="false" customWidth="true" hidden="false" outlineLevel="0" max="9" min="9" style="0" width="34"/>
    <col collapsed="false" customWidth="true" hidden="false" outlineLevel="0" max="10" min="10" style="0" width="44"/>
  </cols>
  <sheetData>
    <row r="1" customFormat="false" ht="15" hidden="false" customHeight="false" outlineLevel="0" collapsed="false">
      <c r="A1" s="1" t="s">
        <v>146</v>
      </c>
      <c r="B1" s="1" t="s">
        <v>43</v>
      </c>
      <c r="C1" s="1" t="s">
        <v>2</v>
      </c>
      <c r="D1" s="1" t="s">
        <v>3</v>
      </c>
      <c r="E1" s="1" t="s">
        <v>242</v>
      </c>
      <c r="F1" s="1" t="s">
        <v>243</v>
      </c>
      <c r="G1" s="1" t="s">
        <v>308</v>
      </c>
      <c r="H1" s="1" t="s">
        <v>244</v>
      </c>
      <c r="I1" s="1" t="s">
        <v>245</v>
      </c>
      <c r="J1" s="1" t="s">
        <v>48</v>
      </c>
    </row>
    <row r="2" customFormat="false" ht="15" hidden="false" customHeight="false" outlineLevel="0" collapsed="false">
      <c r="A2" s="17" t="s">
        <v>309</v>
      </c>
      <c r="B2" s="17" t="s">
        <v>310</v>
      </c>
      <c r="C2" s="17" t="s">
        <v>7</v>
      </c>
      <c r="D2" s="17" t="s">
        <v>311</v>
      </c>
      <c r="E2" s="17" t="s">
        <v>312</v>
      </c>
      <c r="F2" s="17" t="s">
        <v>313</v>
      </c>
      <c r="G2" s="17" t="s">
        <v>314</v>
      </c>
      <c r="H2" s="17" t="s">
        <v>315</v>
      </c>
      <c r="I2" s="17" t="s">
        <v>316</v>
      </c>
      <c r="J2" s="17" t="s">
        <v>317</v>
      </c>
    </row>
    <row r="3" customFormat="false" ht="26.85" hidden="false" customHeight="false" outlineLevel="0" collapsed="false">
      <c r="A3" s="17" t="s">
        <v>318</v>
      </c>
      <c r="B3" s="17" t="s">
        <v>319</v>
      </c>
      <c r="C3" s="17" t="s">
        <v>7</v>
      </c>
      <c r="D3" s="17" t="s">
        <v>295</v>
      </c>
      <c r="E3" s="17" t="s">
        <v>320</v>
      </c>
      <c r="F3" s="17" t="s">
        <v>321</v>
      </c>
      <c r="G3" s="17" t="s">
        <v>130</v>
      </c>
      <c r="H3" s="17" t="s">
        <v>322</v>
      </c>
      <c r="I3" s="17" t="s">
        <v>323</v>
      </c>
      <c r="J3" s="17" t="s">
        <v>324</v>
      </c>
    </row>
    <row r="4" customFormat="false" ht="26.85" hidden="false" customHeight="false" outlineLevel="0" collapsed="false">
      <c r="A4" s="17" t="s">
        <v>325</v>
      </c>
      <c r="B4" s="17" t="s">
        <v>326</v>
      </c>
      <c r="C4" s="17" t="s">
        <v>7</v>
      </c>
      <c r="D4" s="17" t="s">
        <v>327</v>
      </c>
      <c r="E4" s="17" t="s">
        <v>328</v>
      </c>
      <c r="F4" s="17" t="s">
        <v>329</v>
      </c>
      <c r="G4" s="17" t="s">
        <v>330</v>
      </c>
      <c r="H4" s="17" t="s">
        <v>331</v>
      </c>
      <c r="I4" s="17" t="s">
        <v>332</v>
      </c>
      <c r="J4" s="17" t="s">
        <v>333</v>
      </c>
    </row>
    <row r="5" customFormat="false" ht="26.85" hidden="false" customHeight="false" outlineLevel="0" collapsed="false">
      <c r="A5" s="17" t="s">
        <v>334</v>
      </c>
      <c r="B5" s="17" t="s">
        <v>335</v>
      </c>
      <c r="C5" s="17" t="s">
        <v>7</v>
      </c>
      <c r="D5" s="17" t="s">
        <v>287</v>
      </c>
      <c r="E5" s="17" t="s">
        <v>336</v>
      </c>
      <c r="F5" s="17" t="s">
        <v>250</v>
      </c>
      <c r="G5" s="17" t="s">
        <v>130</v>
      </c>
      <c r="H5" s="17" t="s">
        <v>337</v>
      </c>
      <c r="I5" s="17" t="s">
        <v>338</v>
      </c>
      <c r="J5" s="17" t="s">
        <v>339</v>
      </c>
    </row>
    <row r="6" customFormat="false" ht="26.85" hidden="false" customHeight="false" outlineLevel="0" collapsed="false">
      <c r="A6" s="17" t="s">
        <v>340</v>
      </c>
      <c r="B6" s="17" t="s">
        <v>341</v>
      </c>
      <c r="C6" s="17" t="s">
        <v>7</v>
      </c>
      <c r="D6" s="17" t="s">
        <v>342</v>
      </c>
      <c r="E6" s="17" t="s">
        <v>343</v>
      </c>
      <c r="F6" s="17" t="s">
        <v>344</v>
      </c>
      <c r="G6" s="17" t="s">
        <v>345</v>
      </c>
      <c r="H6" s="17" t="s">
        <v>346</v>
      </c>
      <c r="I6" s="17" t="s">
        <v>347</v>
      </c>
      <c r="J6" s="17" t="s">
        <v>348</v>
      </c>
    </row>
    <row r="7" customFormat="false" ht="15" hidden="false" customHeight="false" outlineLevel="0" collapsed="false">
      <c r="A7" s="17" t="s">
        <v>349</v>
      </c>
      <c r="B7" s="17" t="s">
        <v>350</v>
      </c>
      <c r="C7" s="17" t="s">
        <v>7</v>
      </c>
      <c r="D7" s="17" t="s">
        <v>351</v>
      </c>
      <c r="E7" s="17" t="s">
        <v>352</v>
      </c>
      <c r="F7" s="17" t="s">
        <v>353</v>
      </c>
      <c r="G7" s="17" t="s">
        <v>354</v>
      </c>
      <c r="H7" s="17" t="s">
        <v>355</v>
      </c>
      <c r="I7" s="17" t="s">
        <v>356</v>
      </c>
      <c r="J7" s="17" t="s">
        <v>357</v>
      </c>
    </row>
    <row r="8" customFormat="false" ht="26.85" hidden="false" customHeight="false" outlineLevel="0" collapsed="false">
      <c r="A8" s="17" t="s">
        <v>358</v>
      </c>
      <c r="B8" s="17" t="s">
        <v>359</v>
      </c>
      <c r="C8" s="17" t="s">
        <v>7</v>
      </c>
      <c r="D8" s="17" t="s">
        <v>20</v>
      </c>
      <c r="E8" s="17" t="s">
        <v>360</v>
      </c>
      <c r="F8" s="17" t="s">
        <v>250</v>
      </c>
      <c r="G8" s="17" t="s">
        <v>130</v>
      </c>
      <c r="H8" s="17" t="s">
        <v>361</v>
      </c>
      <c r="I8" s="17" t="s">
        <v>362</v>
      </c>
      <c r="J8" s="17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38"/>
    <col collapsed="false" customWidth="true" hidden="false" outlineLevel="0" max="6" min="6" style="0" width="36"/>
    <col collapsed="false" customWidth="true" hidden="false" outlineLevel="0" max="7" min="7" style="0" width="40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1" t="s">
        <v>146</v>
      </c>
      <c r="B1" s="1" t="s">
        <v>43</v>
      </c>
      <c r="C1" s="1" t="s">
        <v>2</v>
      </c>
      <c r="D1" s="1" t="s">
        <v>3</v>
      </c>
      <c r="E1" s="1" t="s">
        <v>242</v>
      </c>
      <c r="F1" s="1" t="s">
        <v>244</v>
      </c>
      <c r="G1" s="1" t="s">
        <v>245</v>
      </c>
      <c r="H1" s="1" t="s">
        <v>48</v>
      </c>
    </row>
    <row r="2" customFormat="false" ht="15" hidden="false" customHeight="false" outlineLevel="0" collapsed="false">
      <c r="A2" s="17" t="s">
        <v>364</v>
      </c>
      <c r="B2" s="17" t="s">
        <v>365</v>
      </c>
      <c r="C2" s="17" t="s">
        <v>7</v>
      </c>
      <c r="D2" s="17" t="s">
        <v>366</v>
      </c>
      <c r="E2" s="17" t="s">
        <v>367</v>
      </c>
      <c r="F2" s="17" t="s">
        <v>368</v>
      </c>
      <c r="G2" s="17" t="s">
        <v>369</v>
      </c>
      <c r="H2" s="17"/>
    </row>
    <row r="3" customFormat="false" ht="15" hidden="false" customHeight="false" outlineLevel="0" collapsed="false">
      <c r="A3" s="17" t="s">
        <v>370</v>
      </c>
      <c r="B3" s="17" t="s">
        <v>371</v>
      </c>
      <c r="C3" s="17" t="s">
        <v>7</v>
      </c>
      <c r="D3" s="17" t="s">
        <v>295</v>
      </c>
      <c r="E3" s="17" t="s">
        <v>372</v>
      </c>
      <c r="F3" s="17" t="s">
        <v>373</v>
      </c>
      <c r="G3" s="17" t="s">
        <v>374</v>
      </c>
      <c r="H3" s="17" t="s">
        <v>375</v>
      </c>
    </row>
    <row r="4" customFormat="false" ht="26.85" hidden="false" customHeight="false" outlineLevel="0" collapsed="false">
      <c r="A4" s="17" t="s">
        <v>376</v>
      </c>
      <c r="B4" s="17" t="s">
        <v>377</v>
      </c>
      <c r="C4" s="17" t="s">
        <v>7</v>
      </c>
      <c r="D4" s="17" t="s">
        <v>295</v>
      </c>
      <c r="E4" s="17" t="s">
        <v>378</v>
      </c>
      <c r="F4" s="17" t="s">
        <v>379</v>
      </c>
      <c r="G4" s="17" t="s">
        <v>380</v>
      </c>
      <c r="H4" s="17"/>
    </row>
    <row r="5" customFormat="false" ht="15" hidden="false" customHeight="false" outlineLevel="0" collapsed="false">
      <c r="A5" s="17" t="s">
        <v>381</v>
      </c>
      <c r="B5" s="17" t="s">
        <v>382</v>
      </c>
      <c r="C5" s="17" t="s">
        <v>7</v>
      </c>
      <c r="D5" s="17" t="s">
        <v>287</v>
      </c>
      <c r="E5" s="17" t="s">
        <v>383</v>
      </c>
      <c r="F5" s="17" t="s">
        <v>384</v>
      </c>
      <c r="G5" s="17" t="s">
        <v>385</v>
      </c>
      <c r="H5" s="17" t="s">
        <v>386</v>
      </c>
    </row>
    <row r="6" customFormat="false" ht="15" hidden="false" customHeight="false" outlineLevel="0" collapsed="false">
      <c r="A6" s="17" t="s">
        <v>387</v>
      </c>
      <c r="B6" s="17" t="s">
        <v>388</v>
      </c>
      <c r="C6" s="17" t="s">
        <v>7</v>
      </c>
      <c r="D6" s="17" t="s">
        <v>295</v>
      </c>
      <c r="E6" s="17" t="s">
        <v>389</v>
      </c>
      <c r="F6" s="17" t="s">
        <v>390</v>
      </c>
      <c r="G6" s="17" t="s">
        <v>391</v>
      </c>
      <c r="H6" s="17" t="s">
        <v>392</v>
      </c>
    </row>
    <row r="7" customFormat="false" ht="15" hidden="false" customHeight="false" outlineLevel="0" collapsed="false">
      <c r="A7" s="17" t="s">
        <v>393</v>
      </c>
      <c r="B7" s="17" t="s">
        <v>294</v>
      </c>
      <c r="C7" s="17" t="s">
        <v>7</v>
      </c>
      <c r="D7" s="17" t="s">
        <v>295</v>
      </c>
      <c r="E7" s="17" t="s">
        <v>394</v>
      </c>
      <c r="F7" s="17" t="s">
        <v>395</v>
      </c>
      <c r="G7" s="17" t="s">
        <v>396</v>
      </c>
      <c r="H7" s="17" t="s">
        <v>397</v>
      </c>
    </row>
    <row r="8" customFormat="false" ht="15" hidden="false" customHeight="false" outlineLevel="0" collapsed="false">
      <c r="A8" s="17" t="s">
        <v>398</v>
      </c>
      <c r="B8" s="17" t="s">
        <v>399</v>
      </c>
      <c r="C8" s="17" t="s">
        <v>7</v>
      </c>
      <c r="D8" s="17" t="s">
        <v>287</v>
      </c>
      <c r="E8" s="17" t="s">
        <v>400</v>
      </c>
      <c r="F8" s="17" t="s">
        <v>401</v>
      </c>
      <c r="G8" s="17" t="s">
        <v>402</v>
      </c>
      <c r="H8" s="17" t="s">
        <v>403</v>
      </c>
    </row>
    <row r="9" customFormat="false" ht="26.85" hidden="false" customHeight="false" outlineLevel="0" collapsed="false">
      <c r="A9" s="17" t="s">
        <v>404</v>
      </c>
      <c r="B9" s="17" t="s">
        <v>405</v>
      </c>
      <c r="C9" s="17" t="s">
        <v>7</v>
      </c>
      <c r="D9" s="17" t="s">
        <v>20</v>
      </c>
      <c r="E9" s="17" t="s">
        <v>406</v>
      </c>
      <c r="F9" s="17" t="s">
        <v>407</v>
      </c>
      <c r="G9" s="17" t="s">
        <v>408</v>
      </c>
      <c r="H9" s="17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36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146</v>
      </c>
      <c r="B1" s="1" t="s">
        <v>43</v>
      </c>
      <c r="C1" s="1" t="s">
        <v>2</v>
      </c>
      <c r="D1" s="1" t="s">
        <v>3</v>
      </c>
      <c r="E1" s="1" t="s">
        <v>242</v>
      </c>
      <c r="F1" s="1" t="s">
        <v>308</v>
      </c>
      <c r="G1" s="1" t="s">
        <v>244</v>
      </c>
      <c r="H1" s="1" t="s">
        <v>245</v>
      </c>
      <c r="I1" s="1" t="s">
        <v>48</v>
      </c>
    </row>
    <row r="2" customFormat="false" ht="26.85" hidden="false" customHeight="false" outlineLevel="0" collapsed="false">
      <c r="A2" s="17" t="s">
        <v>410</v>
      </c>
      <c r="B2" s="17" t="s">
        <v>411</v>
      </c>
      <c r="C2" s="17" t="s">
        <v>7</v>
      </c>
      <c r="D2" s="17" t="s">
        <v>26</v>
      </c>
      <c r="E2" s="17" t="s">
        <v>412</v>
      </c>
      <c r="F2" s="17" t="s">
        <v>130</v>
      </c>
      <c r="G2" s="17" t="s">
        <v>413</v>
      </c>
      <c r="H2" s="17" t="s">
        <v>414</v>
      </c>
      <c r="I2" s="17" t="s">
        <v>415</v>
      </c>
    </row>
    <row r="3" customFormat="false" ht="26.85" hidden="false" customHeight="false" outlineLevel="0" collapsed="false">
      <c r="A3" s="17" t="s">
        <v>416</v>
      </c>
      <c r="B3" s="17" t="s">
        <v>417</v>
      </c>
      <c r="C3" s="17" t="s">
        <v>7</v>
      </c>
      <c r="D3" s="17" t="s">
        <v>418</v>
      </c>
      <c r="E3" s="17" t="s">
        <v>419</v>
      </c>
      <c r="F3" s="17" t="s">
        <v>130</v>
      </c>
      <c r="G3" s="17" t="s">
        <v>420</v>
      </c>
      <c r="H3" s="17" t="s">
        <v>421</v>
      </c>
      <c r="I3" s="17" t="s">
        <v>422</v>
      </c>
    </row>
    <row r="4" customFormat="false" ht="15" hidden="false" customHeight="false" outlineLevel="0" collapsed="false">
      <c r="A4" s="17" t="s">
        <v>423</v>
      </c>
      <c r="B4" s="17" t="s">
        <v>424</v>
      </c>
      <c r="C4" s="17" t="s">
        <v>7</v>
      </c>
      <c r="D4" s="17" t="s">
        <v>273</v>
      </c>
      <c r="E4" s="17" t="s">
        <v>425</v>
      </c>
      <c r="F4" s="17" t="s">
        <v>130</v>
      </c>
      <c r="G4" s="17" t="s">
        <v>426</v>
      </c>
      <c r="H4" s="17" t="s">
        <v>427</v>
      </c>
      <c r="I4" s="17"/>
    </row>
    <row r="5" customFormat="false" ht="15" hidden="false" customHeight="false" outlineLevel="0" collapsed="false">
      <c r="A5" s="17" t="s">
        <v>428</v>
      </c>
      <c r="B5" s="17" t="s">
        <v>429</v>
      </c>
      <c r="C5" s="17" t="s">
        <v>7</v>
      </c>
      <c r="D5" s="17" t="s">
        <v>418</v>
      </c>
      <c r="E5" s="17" t="s">
        <v>430</v>
      </c>
      <c r="F5" s="17" t="s">
        <v>130</v>
      </c>
      <c r="G5" s="17" t="s">
        <v>431</v>
      </c>
      <c r="H5" s="17" t="s">
        <v>432</v>
      </c>
      <c r="I5" s="17"/>
    </row>
    <row r="6" customFormat="false" ht="26.85" hidden="false" customHeight="false" outlineLevel="0" collapsed="false">
      <c r="A6" s="17" t="s">
        <v>433</v>
      </c>
      <c r="B6" s="17" t="s">
        <v>434</v>
      </c>
      <c r="C6" s="17" t="s">
        <v>7</v>
      </c>
      <c r="D6" s="17" t="s">
        <v>435</v>
      </c>
      <c r="E6" s="17" t="s">
        <v>436</v>
      </c>
      <c r="F6" s="17" t="s">
        <v>437</v>
      </c>
      <c r="G6" s="17" t="s">
        <v>438</v>
      </c>
      <c r="H6" s="17" t="s">
        <v>439</v>
      </c>
      <c r="I6" s="17" t="s">
        <v>440</v>
      </c>
    </row>
    <row r="7" customFormat="false" ht="26.85" hidden="false" customHeight="false" outlineLevel="0" collapsed="false">
      <c r="A7" s="17" t="s">
        <v>441</v>
      </c>
      <c r="B7" s="17" t="s">
        <v>442</v>
      </c>
      <c r="C7" s="17" t="s">
        <v>7</v>
      </c>
      <c r="D7" s="17" t="s">
        <v>327</v>
      </c>
      <c r="E7" s="17" t="s">
        <v>443</v>
      </c>
      <c r="F7" s="17" t="s">
        <v>444</v>
      </c>
      <c r="G7" s="17" t="s">
        <v>445</v>
      </c>
      <c r="H7" s="17" t="s">
        <v>446</v>
      </c>
      <c r="I7" s="17"/>
    </row>
    <row r="8" customFormat="false" ht="15" hidden="false" customHeight="false" outlineLevel="0" collapsed="false">
      <c r="A8" s="17" t="s">
        <v>447</v>
      </c>
      <c r="B8" s="17" t="s">
        <v>448</v>
      </c>
      <c r="C8" s="17" t="s">
        <v>7</v>
      </c>
      <c r="D8" s="17" t="s">
        <v>26</v>
      </c>
      <c r="E8" s="17" t="s">
        <v>449</v>
      </c>
      <c r="F8" s="17" t="s">
        <v>130</v>
      </c>
      <c r="G8" s="17" t="s">
        <v>450</v>
      </c>
      <c r="H8" s="17" t="s">
        <v>451</v>
      </c>
      <c r="I8" s="17"/>
    </row>
    <row r="9" customFormat="false" ht="15" hidden="false" customHeight="false" outlineLevel="0" collapsed="false">
      <c r="A9" s="17" t="s">
        <v>452</v>
      </c>
      <c r="B9" s="17" t="s">
        <v>453</v>
      </c>
      <c r="C9" s="17" t="s">
        <v>7</v>
      </c>
      <c r="D9" s="17" t="s">
        <v>32</v>
      </c>
      <c r="E9" s="17" t="s">
        <v>454</v>
      </c>
      <c r="F9" s="17" t="s">
        <v>130</v>
      </c>
      <c r="G9" s="17" t="s">
        <v>455</v>
      </c>
      <c r="H9" s="17" t="s">
        <v>456</v>
      </c>
      <c r="I9" s="17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38"/>
  </cols>
  <sheetData>
    <row r="1" customFormat="false" ht="15" hidden="false" customHeight="false" outlineLevel="0" collapsed="false">
      <c r="A1" s="1" t="s">
        <v>458</v>
      </c>
      <c r="B1" s="1" t="s">
        <v>459</v>
      </c>
      <c r="C1" s="1" t="s">
        <v>460</v>
      </c>
      <c r="D1" s="1" t="s">
        <v>461</v>
      </c>
      <c r="E1" s="1" t="s">
        <v>10</v>
      </c>
      <c r="F1" s="1" t="s">
        <v>462</v>
      </c>
      <c r="G1" s="1" t="s">
        <v>463</v>
      </c>
    </row>
    <row r="2" customFormat="false" ht="15" hidden="false" customHeight="false" outlineLevel="0" collapsed="false">
      <c r="A2" s="18" t="s">
        <v>464</v>
      </c>
      <c r="B2" s="18" t="s">
        <v>465</v>
      </c>
      <c r="C2" s="18" t="s">
        <v>466</v>
      </c>
      <c r="D2" s="18" t="s">
        <v>467</v>
      </c>
      <c r="E2" s="18" t="s">
        <v>467</v>
      </c>
      <c r="F2" s="18" t="s">
        <v>468</v>
      </c>
      <c r="G2" s="18" t="s">
        <v>469</v>
      </c>
    </row>
    <row r="3" customFormat="false" ht="15" hidden="false" customHeight="false" outlineLevel="0" collapsed="false">
      <c r="A3" s="18" t="s">
        <v>470</v>
      </c>
      <c r="B3" s="18" t="s">
        <v>471</v>
      </c>
      <c r="C3" s="18" t="s">
        <v>472</v>
      </c>
      <c r="D3" s="18" t="s">
        <v>467</v>
      </c>
      <c r="E3" s="18" t="s">
        <v>467</v>
      </c>
      <c r="F3" s="18" t="s">
        <v>473</v>
      </c>
      <c r="G3" s="18" t="s">
        <v>474</v>
      </c>
    </row>
    <row r="4" customFormat="false" ht="23.85" hidden="false" customHeight="false" outlineLevel="0" collapsed="false">
      <c r="A4" s="19" t="s">
        <v>475</v>
      </c>
      <c r="B4" s="19" t="s">
        <v>476</v>
      </c>
      <c r="C4" s="19" t="s">
        <v>477</v>
      </c>
      <c r="D4" s="19" t="s">
        <v>478</v>
      </c>
      <c r="E4" s="19" t="s">
        <v>478</v>
      </c>
      <c r="F4" s="19" t="s">
        <v>479</v>
      </c>
      <c r="G4" s="19" t="s">
        <v>480</v>
      </c>
    </row>
    <row r="5" customFormat="false" ht="23.85" hidden="false" customHeight="false" outlineLevel="0" collapsed="false">
      <c r="A5" s="19" t="s">
        <v>481</v>
      </c>
      <c r="B5" s="19" t="s">
        <v>482</v>
      </c>
      <c r="C5" s="19" t="s">
        <v>483</v>
      </c>
      <c r="D5" s="19" t="s">
        <v>478</v>
      </c>
      <c r="E5" s="19" t="s">
        <v>478</v>
      </c>
      <c r="F5" s="19" t="s">
        <v>484</v>
      </c>
      <c r="G5" s="19" t="s">
        <v>485</v>
      </c>
    </row>
    <row r="6" customFormat="false" ht="15" hidden="false" customHeight="false" outlineLevel="0" collapsed="false">
      <c r="A6" s="20" t="s">
        <v>486</v>
      </c>
      <c r="B6" s="20" t="s">
        <v>487</v>
      </c>
      <c r="C6" s="20" t="s">
        <v>488</v>
      </c>
      <c r="D6" s="20" t="s">
        <v>489</v>
      </c>
      <c r="E6" s="20" t="s">
        <v>489</v>
      </c>
      <c r="F6" s="20" t="s">
        <v>490</v>
      </c>
      <c r="G6" s="20" t="s">
        <v>491</v>
      </c>
    </row>
    <row r="7" customFormat="false" ht="15" hidden="false" customHeight="false" outlineLevel="0" collapsed="false">
      <c r="A7" s="20" t="s">
        <v>492</v>
      </c>
      <c r="B7" s="20" t="s">
        <v>493</v>
      </c>
      <c r="C7" s="20" t="s">
        <v>494</v>
      </c>
      <c r="D7" s="20" t="s">
        <v>489</v>
      </c>
      <c r="E7" s="20" t="s">
        <v>489</v>
      </c>
      <c r="F7" s="20" t="s">
        <v>495</v>
      </c>
      <c r="G7" s="20" t="s">
        <v>496</v>
      </c>
    </row>
    <row r="8" customFormat="false" ht="15" hidden="false" customHeight="false" outlineLevel="0" collapsed="false">
      <c r="A8" s="19" t="s">
        <v>497</v>
      </c>
      <c r="B8" s="19" t="s">
        <v>498</v>
      </c>
      <c r="C8" s="19" t="s">
        <v>499</v>
      </c>
      <c r="D8" s="19" t="s">
        <v>478</v>
      </c>
      <c r="E8" s="19" t="s">
        <v>478</v>
      </c>
      <c r="F8" s="19" t="s">
        <v>500</v>
      </c>
      <c r="G8" s="19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7" min="6" style="0" width="16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502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507</v>
      </c>
      <c r="G1" s="1" t="s">
        <v>508</v>
      </c>
      <c r="H1" s="1" t="s">
        <v>509</v>
      </c>
    </row>
    <row r="2" customFormat="false" ht="15" hidden="false" customHeight="false" outlineLevel="0" collapsed="false">
      <c r="A2" s="21" t="s">
        <v>510</v>
      </c>
      <c r="B2" s="21" t="s">
        <v>511</v>
      </c>
      <c r="C2" s="21" t="n">
        <v>6369103</v>
      </c>
      <c r="D2" s="21" t="n">
        <v>6233961</v>
      </c>
      <c r="E2" s="21" t="n">
        <v>5793294</v>
      </c>
      <c r="F2" s="21" t="n">
        <v>6250360</v>
      </c>
      <c r="G2" s="21" t="n">
        <v>24646717</v>
      </c>
      <c r="H2" s="21" t="s">
        <v>512</v>
      </c>
    </row>
    <row r="3" customFormat="false" ht="15" hidden="false" customHeight="false" outlineLevel="0" collapsed="false">
      <c r="A3" s="21" t="s">
        <v>510</v>
      </c>
      <c r="B3" s="21" t="s">
        <v>513</v>
      </c>
      <c r="C3" s="21" t="n">
        <v>1500</v>
      </c>
      <c r="D3" s="21" t="n">
        <v>1337</v>
      </c>
      <c r="E3" s="21" t="n">
        <v>1320</v>
      </c>
      <c r="F3" s="21" t="n">
        <v>1408</v>
      </c>
      <c r="G3" s="21" t="n">
        <v>5565</v>
      </c>
      <c r="H3" s="21" t="s">
        <v>512</v>
      </c>
    </row>
    <row r="4" customFormat="false" ht="15" hidden="false" customHeight="false" outlineLevel="0" collapsed="false">
      <c r="A4" s="21" t="s">
        <v>514</v>
      </c>
      <c r="B4" s="21" t="s">
        <v>515</v>
      </c>
      <c r="C4" s="21" t="s">
        <v>516</v>
      </c>
      <c r="D4" s="21" t="s">
        <v>517</v>
      </c>
      <c r="E4" s="21" t="s">
        <v>518</v>
      </c>
      <c r="F4" s="21" t="s">
        <v>519</v>
      </c>
      <c r="G4" s="21" t="s">
        <v>520</v>
      </c>
      <c r="H4" s="21" t="s">
        <v>512</v>
      </c>
    </row>
    <row r="5" customFormat="false" ht="15" hidden="false" customHeight="false" outlineLevel="0" collapsed="false">
      <c r="A5" s="21" t="s">
        <v>514</v>
      </c>
      <c r="B5" s="21" t="s">
        <v>521</v>
      </c>
      <c r="C5" s="21" t="s">
        <v>522</v>
      </c>
      <c r="D5" s="21" t="s">
        <v>523</v>
      </c>
      <c r="E5" s="21" t="s">
        <v>524</v>
      </c>
      <c r="F5" s="21" t="s">
        <v>525</v>
      </c>
      <c r="G5" s="21" t="s">
        <v>105</v>
      </c>
      <c r="H5" s="21" t="s">
        <v>526</v>
      </c>
    </row>
    <row r="6" customFormat="false" ht="15" hidden="false" customHeight="false" outlineLevel="0" collapsed="false">
      <c r="A6" s="21" t="s">
        <v>527</v>
      </c>
      <c r="B6" s="21" t="s">
        <v>528</v>
      </c>
      <c r="C6" s="21" t="n">
        <v>947</v>
      </c>
      <c r="D6" s="21" t="n">
        <v>1191</v>
      </c>
      <c r="E6" s="21" t="n">
        <v>1175</v>
      </c>
      <c r="F6" s="21" t="n">
        <v>1226</v>
      </c>
      <c r="G6" s="21" t="n">
        <v>4539</v>
      </c>
      <c r="H6" s="21" t="s">
        <v>529</v>
      </c>
    </row>
    <row r="7" customFormat="false" ht="15" hidden="false" customHeight="false" outlineLevel="0" collapsed="false">
      <c r="A7" s="21" t="s">
        <v>527</v>
      </c>
      <c r="B7" s="21" t="s">
        <v>530</v>
      </c>
      <c r="C7" s="21" t="n">
        <v>346</v>
      </c>
      <c r="D7" s="21" t="n">
        <v>408</v>
      </c>
      <c r="E7" s="21" t="n">
        <v>458</v>
      </c>
      <c r="F7" s="21" t="n">
        <v>472</v>
      </c>
      <c r="G7" s="21" t="n">
        <v>1684</v>
      </c>
      <c r="H7" s="21" t="s">
        <v>531</v>
      </c>
    </row>
    <row r="8" customFormat="false" ht="15" hidden="false" customHeight="false" outlineLevel="0" collapsed="false">
      <c r="A8" s="21" t="s">
        <v>527</v>
      </c>
      <c r="B8" s="21" t="s">
        <v>532</v>
      </c>
      <c r="C8" s="21" t="n">
        <v>601</v>
      </c>
      <c r="D8" s="21" t="n">
        <v>783</v>
      </c>
      <c r="E8" s="21" t="n">
        <v>717</v>
      </c>
      <c r="F8" s="21" t="n">
        <v>754</v>
      </c>
      <c r="G8" s="21" t="n">
        <v>2855</v>
      </c>
      <c r="H8" s="21" t="s">
        <v>531</v>
      </c>
    </row>
    <row r="9" customFormat="false" ht="15" hidden="false" customHeight="false" outlineLevel="0" collapsed="false">
      <c r="A9" s="21" t="s">
        <v>527</v>
      </c>
      <c r="B9" s="21" t="s">
        <v>533</v>
      </c>
      <c r="C9" s="21" t="s">
        <v>534</v>
      </c>
      <c r="D9" s="21" t="s">
        <v>535</v>
      </c>
      <c r="E9" s="21" t="s">
        <v>536</v>
      </c>
      <c r="F9" s="21" t="s">
        <v>537</v>
      </c>
      <c r="G9" s="21" t="s">
        <v>538</v>
      </c>
      <c r="H9" s="21" t="s">
        <v>531</v>
      </c>
    </row>
    <row r="10" customFormat="false" ht="15" hidden="false" customHeight="false" outlineLevel="0" collapsed="false">
      <c r="A10" s="21" t="s">
        <v>539</v>
      </c>
      <c r="B10" s="21" t="s">
        <v>540</v>
      </c>
      <c r="C10" s="21"/>
      <c r="D10" s="21"/>
      <c r="E10" s="21"/>
      <c r="F10" s="21"/>
      <c r="G10" s="21" t="s">
        <v>100</v>
      </c>
      <c r="H10" s="21" t="s">
        <v>526</v>
      </c>
    </row>
    <row r="11" customFormat="false" ht="15" hidden="false" customHeight="false" outlineLevel="0" collapsed="false">
      <c r="A11" s="21" t="s">
        <v>539</v>
      </c>
      <c r="B11" s="21" t="s">
        <v>541</v>
      </c>
      <c r="C11" s="21"/>
      <c r="D11" s="21"/>
      <c r="E11" s="21"/>
      <c r="F11" s="21"/>
      <c r="G11" s="21" t="n">
        <v>1957</v>
      </c>
      <c r="H11" s="21" t="s">
        <v>526</v>
      </c>
    </row>
    <row r="12" customFormat="false" ht="15" hidden="false" customHeight="false" outlineLevel="0" collapsed="false">
      <c r="A12" s="21" t="s">
        <v>539</v>
      </c>
      <c r="B12" s="21" t="s">
        <v>542</v>
      </c>
      <c r="C12" s="21"/>
      <c r="D12" s="21"/>
      <c r="E12" s="21"/>
      <c r="F12" s="21"/>
      <c r="G12" s="21" t="s">
        <v>110</v>
      </c>
      <c r="H12" s="21" t="s">
        <v>526</v>
      </c>
    </row>
    <row r="13" customFormat="false" ht="15" hidden="false" customHeight="false" outlineLevel="0" collapsed="false">
      <c r="A13" s="21" t="s">
        <v>543</v>
      </c>
      <c r="B13" s="21" t="s">
        <v>544</v>
      </c>
      <c r="C13" s="21"/>
      <c r="D13" s="21"/>
      <c r="E13" s="21"/>
      <c r="F13" s="21" t="s">
        <v>545</v>
      </c>
      <c r="G13" s="21"/>
      <c r="H13" s="21" t="s">
        <v>531</v>
      </c>
    </row>
    <row r="14" customFormat="false" ht="15" hidden="false" customHeight="false" outlineLevel="0" collapsed="false">
      <c r="A14" s="21" t="s">
        <v>543</v>
      </c>
      <c r="B14" s="21" t="s">
        <v>546</v>
      </c>
      <c r="C14" s="21"/>
      <c r="D14" s="21"/>
      <c r="E14" s="21"/>
      <c r="F14" s="21" t="s">
        <v>547</v>
      </c>
      <c r="G14" s="21"/>
      <c r="H14" s="21" t="s">
        <v>531</v>
      </c>
    </row>
    <row r="15" customFormat="false" ht="15" hidden="false" customHeight="false" outlineLevel="0" collapsed="false">
      <c r="A15" s="21" t="s">
        <v>543</v>
      </c>
      <c r="B15" s="21" t="s">
        <v>548</v>
      </c>
      <c r="C15" s="21"/>
      <c r="D15" s="21"/>
      <c r="E15" s="21"/>
      <c r="F15" s="21" t="s">
        <v>138</v>
      </c>
      <c r="G15" s="21"/>
      <c r="H15" s="21" t="s">
        <v>549</v>
      </c>
    </row>
    <row r="16" customFormat="false" ht="15" hidden="false" customHeight="false" outlineLevel="0" collapsed="false">
      <c r="A16" s="21" t="s">
        <v>543</v>
      </c>
      <c r="B16" s="21" t="s">
        <v>550</v>
      </c>
      <c r="C16" s="21"/>
      <c r="D16" s="21"/>
      <c r="E16" s="21"/>
      <c r="F16" s="21" t="s">
        <v>551</v>
      </c>
      <c r="G16" s="21"/>
      <c r="H16" s="21" t="s">
        <v>531</v>
      </c>
    </row>
    <row r="17" customFormat="false" ht="15" hidden="false" customHeight="false" outlineLevel="0" collapsed="false">
      <c r="A17" s="21" t="s">
        <v>552</v>
      </c>
      <c r="B17" s="21" t="s">
        <v>553</v>
      </c>
      <c r="C17" s="21" t="s">
        <v>418</v>
      </c>
      <c r="D17" s="21" t="s">
        <v>554</v>
      </c>
      <c r="E17" s="21" t="s">
        <v>555</v>
      </c>
      <c r="F17" s="21" t="s">
        <v>342</v>
      </c>
      <c r="G17" s="21"/>
      <c r="H17" s="21" t="s">
        <v>556</v>
      </c>
    </row>
    <row r="18" customFormat="false" ht="15" hidden="false" customHeight="false" outlineLevel="0" collapsed="false">
      <c r="A18" s="21" t="s">
        <v>552</v>
      </c>
      <c r="B18" s="21" t="s">
        <v>557</v>
      </c>
      <c r="C18" s="21" t="s">
        <v>558</v>
      </c>
      <c r="D18" s="21" t="s">
        <v>517</v>
      </c>
      <c r="E18" s="21" t="s">
        <v>559</v>
      </c>
      <c r="F18" s="21" t="s">
        <v>560</v>
      </c>
      <c r="G18" s="21"/>
      <c r="H18" s="21" t="s">
        <v>556</v>
      </c>
    </row>
    <row r="19" customFormat="false" ht="15" hidden="false" customHeight="false" outlineLevel="0" collapsed="false">
      <c r="A19" s="21" t="s">
        <v>552</v>
      </c>
      <c r="B19" s="21" t="s">
        <v>561</v>
      </c>
      <c r="C19" s="21" t="s">
        <v>562</v>
      </c>
      <c r="D19" s="21" t="s">
        <v>563</v>
      </c>
      <c r="E19" s="21" t="s">
        <v>564</v>
      </c>
      <c r="F19" s="21" t="s">
        <v>563</v>
      </c>
      <c r="G19" s="21"/>
      <c r="H19" s="21" t="s">
        <v>556</v>
      </c>
    </row>
    <row r="20" customFormat="false" ht="15" hidden="false" customHeight="false" outlineLevel="0" collapsed="false">
      <c r="A20" s="21" t="s">
        <v>565</v>
      </c>
      <c r="B20" s="21" t="s">
        <v>566</v>
      </c>
      <c r="C20" s="21"/>
      <c r="D20" s="21"/>
      <c r="E20" s="21"/>
      <c r="F20" s="21" t="s">
        <v>143</v>
      </c>
      <c r="G20" s="21"/>
      <c r="H20" s="21" t="s">
        <v>531</v>
      </c>
    </row>
    <row r="21" customFormat="false" ht="15" hidden="false" customHeight="false" outlineLevel="0" collapsed="false">
      <c r="A21" s="21" t="s">
        <v>565</v>
      </c>
      <c r="B21" s="21" t="s">
        <v>567</v>
      </c>
      <c r="C21" s="21"/>
      <c r="D21" s="21"/>
      <c r="E21" s="21"/>
      <c r="F21" s="21"/>
      <c r="G21" s="21" t="s">
        <v>568</v>
      </c>
      <c r="H21" s="21" t="s">
        <v>512</v>
      </c>
    </row>
    <row r="22" customFormat="false" ht="15" hidden="false" customHeight="false" outlineLevel="0" collapsed="false">
      <c r="A22" s="21" t="s">
        <v>565</v>
      </c>
      <c r="B22" s="21" t="s">
        <v>569</v>
      </c>
      <c r="C22" s="21"/>
      <c r="D22" s="21"/>
      <c r="E22" s="21"/>
      <c r="F22" s="21"/>
      <c r="G22" s="21" t="n">
        <v>1438</v>
      </c>
      <c r="H22" s="21" t="s">
        <v>570</v>
      </c>
    </row>
    <row r="23" customFormat="false" ht="15" hidden="false" customHeight="false" outlineLevel="0" collapsed="false">
      <c r="A23" s="21" t="s">
        <v>565</v>
      </c>
      <c r="B23" s="21" t="s">
        <v>571</v>
      </c>
      <c r="C23" s="21"/>
      <c r="D23" s="21"/>
      <c r="E23" s="21"/>
      <c r="F23" s="21"/>
      <c r="G23" s="21" t="n">
        <v>1798</v>
      </c>
      <c r="H23" s="21" t="s">
        <v>572</v>
      </c>
    </row>
    <row r="24" customFormat="false" ht="15" hidden="false" customHeight="false" outlineLevel="0" collapsed="false">
      <c r="A24" s="22" t="s">
        <v>18</v>
      </c>
      <c r="B24" s="22" t="s">
        <v>573</v>
      </c>
      <c r="C24" s="22"/>
      <c r="D24" s="22"/>
      <c r="E24" s="22"/>
      <c r="F24" s="22"/>
      <c r="G24" s="22" t="n">
        <v>13</v>
      </c>
      <c r="H24" s="22" t="s">
        <v>574</v>
      </c>
    </row>
    <row r="25" customFormat="false" ht="15" hidden="false" customHeight="false" outlineLevel="0" collapsed="false">
      <c r="A25" s="22" t="s">
        <v>18</v>
      </c>
      <c r="B25" s="22" t="s">
        <v>575</v>
      </c>
      <c r="C25" s="22"/>
      <c r="D25" s="22"/>
      <c r="E25" s="22"/>
      <c r="F25" s="22"/>
      <c r="G25" s="22" t="s">
        <v>576</v>
      </c>
      <c r="H25" s="22" t="s">
        <v>124</v>
      </c>
    </row>
    <row r="26" customFormat="false" ht="15" hidden="false" customHeight="false" outlineLevel="0" collapsed="false">
      <c r="A26" s="22" t="s">
        <v>18</v>
      </c>
      <c r="B26" s="22" t="s">
        <v>577</v>
      </c>
      <c r="C26" s="22"/>
      <c r="D26" s="22"/>
      <c r="E26" s="22"/>
      <c r="F26" s="22"/>
      <c r="G26" s="22" t="n">
        <v>14</v>
      </c>
      <c r="H26" s="22" t="s">
        <v>578</v>
      </c>
    </row>
    <row r="27" customFormat="false" ht="15" hidden="false" customHeight="false" outlineLevel="0" collapsed="false">
      <c r="A27" s="22" t="s">
        <v>18</v>
      </c>
      <c r="B27" s="22" t="s">
        <v>579</v>
      </c>
      <c r="C27" s="22"/>
      <c r="D27" s="22"/>
      <c r="E27" s="22"/>
      <c r="F27" s="22"/>
      <c r="G27" s="22" t="n">
        <v>1480</v>
      </c>
      <c r="H27" s="22" t="s">
        <v>580</v>
      </c>
    </row>
    <row r="28" customFormat="false" ht="15" hidden="false" customHeight="false" outlineLevel="0" collapsed="false">
      <c r="A28" s="22" t="s">
        <v>18</v>
      </c>
      <c r="B28" s="22" t="s">
        <v>581</v>
      </c>
      <c r="C28" s="22"/>
      <c r="D28" s="22"/>
      <c r="E28" s="22"/>
      <c r="F28" s="22"/>
      <c r="G28" s="22" t="n">
        <v>182</v>
      </c>
      <c r="H28" s="22" t="s">
        <v>582</v>
      </c>
    </row>
    <row r="29" customFormat="false" ht="15" hidden="false" customHeight="false" outlineLevel="0" collapsed="false">
      <c r="A29" s="22" t="s">
        <v>18</v>
      </c>
      <c r="B29" s="22" t="s">
        <v>583</v>
      </c>
      <c r="C29" s="22"/>
      <c r="D29" s="22"/>
      <c r="E29" s="22"/>
      <c r="F29" s="22"/>
      <c r="G29" s="22" t="n">
        <v>694</v>
      </c>
      <c r="H29" s="22" t="s">
        <v>584</v>
      </c>
    </row>
    <row r="30" customFormat="false" ht="15" hidden="false" customHeight="false" outlineLevel="0" collapsed="false">
      <c r="A30" s="22" t="s">
        <v>18</v>
      </c>
      <c r="B30" s="22" t="s">
        <v>279</v>
      </c>
      <c r="C30" s="22"/>
      <c r="D30" s="22"/>
      <c r="E30" s="22"/>
      <c r="F30" s="22"/>
      <c r="G30" s="22" t="n">
        <v>298</v>
      </c>
      <c r="H30" s="22" t="s">
        <v>585</v>
      </c>
    </row>
    <row r="31" customFormat="false" ht="15" hidden="false" customHeight="false" outlineLevel="0" collapsed="false">
      <c r="A31" s="22" t="s">
        <v>18</v>
      </c>
      <c r="B31" s="22" t="s">
        <v>586</v>
      </c>
      <c r="C31" s="22"/>
      <c r="D31" s="22"/>
      <c r="E31" s="22"/>
      <c r="F31" s="22"/>
      <c r="G31" s="22" t="n">
        <v>84</v>
      </c>
      <c r="H31" s="22" t="s">
        <v>587</v>
      </c>
    </row>
    <row r="32" customFormat="false" ht="15" hidden="false" customHeight="false" outlineLevel="0" collapsed="false">
      <c r="A32" s="22" t="s">
        <v>18</v>
      </c>
      <c r="B32" s="22" t="s">
        <v>588</v>
      </c>
      <c r="C32" s="22"/>
      <c r="D32" s="22"/>
      <c r="E32" s="22"/>
      <c r="F32" s="22"/>
      <c r="G32" s="22" t="n">
        <v>129</v>
      </c>
      <c r="H32" s="22" t="s">
        <v>589</v>
      </c>
    </row>
    <row r="33" customFormat="false" ht="15" hidden="false" customHeight="false" outlineLevel="0" collapsed="false">
      <c r="A33" s="22" t="s">
        <v>18</v>
      </c>
      <c r="B33" s="22" t="s">
        <v>590</v>
      </c>
      <c r="C33" s="22"/>
      <c r="D33" s="22"/>
      <c r="E33" s="22"/>
      <c r="F33" s="22"/>
      <c r="G33" s="22" t="n">
        <v>43</v>
      </c>
      <c r="H33" s="22" t="s">
        <v>591</v>
      </c>
    </row>
    <row r="34" customFormat="false" ht="15" hidden="false" customHeight="false" outlineLevel="0" collapsed="false">
      <c r="A34" s="22" t="s">
        <v>18</v>
      </c>
      <c r="B34" s="22" t="s">
        <v>592</v>
      </c>
      <c r="C34" s="22"/>
      <c r="D34" s="22"/>
      <c r="E34" s="22"/>
      <c r="F34" s="22"/>
      <c r="G34" s="22" t="s">
        <v>593</v>
      </c>
      <c r="H34" s="22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43</v>
      </c>
      <c r="B1" s="1" t="s">
        <v>595</v>
      </c>
      <c r="C1" s="1" t="s">
        <v>596</v>
      </c>
      <c r="D1" s="1" t="s">
        <v>0</v>
      </c>
      <c r="E1" s="1" t="s">
        <v>597</v>
      </c>
      <c r="F1" s="1" t="s">
        <v>598</v>
      </c>
    </row>
    <row r="2" customFormat="false" ht="15" hidden="false" customHeight="false" outlineLevel="0" collapsed="false">
      <c r="A2" s="23" t="s">
        <v>599</v>
      </c>
      <c r="B2" s="23" t="s">
        <v>600</v>
      </c>
      <c r="C2" s="23" t="s">
        <v>601</v>
      </c>
      <c r="D2" s="23" t="s">
        <v>12</v>
      </c>
      <c r="E2" s="23" t="s">
        <v>602</v>
      </c>
      <c r="F2" s="23" t="s">
        <v>603</v>
      </c>
    </row>
    <row r="3" customFormat="false" ht="15" hidden="false" customHeight="false" outlineLevel="0" collapsed="false">
      <c r="A3" s="23" t="s">
        <v>604</v>
      </c>
      <c r="B3" s="23" t="s">
        <v>605</v>
      </c>
      <c r="C3" s="23" t="s">
        <v>606</v>
      </c>
      <c r="D3" s="23" t="s">
        <v>35</v>
      </c>
      <c r="E3" s="23" t="s">
        <v>607</v>
      </c>
      <c r="F3" s="23" t="s">
        <v>130</v>
      </c>
    </row>
    <row r="4" customFormat="false" ht="15" hidden="false" customHeight="false" outlineLevel="0" collapsed="false">
      <c r="A4" s="23" t="s">
        <v>608</v>
      </c>
      <c r="B4" s="23" t="s">
        <v>609</v>
      </c>
      <c r="C4" s="23" t="s">
        <v>610</v>
      </c>
      <c r="D4" s="23" t="s">
        <v>24</v>
      </c>
      <c r="E4" s="23" t="s">
        <v>611</v>
      </c>
      <c r="F4" s="23" t="s">
        <v>612</v>
      </c>
    </row>
    <row r="5" customFormat="false" ht="15" hidden="false" customHeight="false" outlineLevel="0" collapsed="false">
      <c r="A5" s="23" t="s">
        <v>613</v>
      </c>
      <c r="B5" s="23" t="s">
        <v>614</v>
      </c>
      <c r="C5" s="23" t="s">
        <v>615</v>
      </c>
      <c r="D5" s="23" t="s">
        <v>24</v>
      </c>
      <c r="E5" s="23" t="s">
        <v>616</v>
      </c>
      <c r="F5" s="23" t="s">
        <v>130</v>
      </c>
    </row>
    <row r="6" customFormat="false" ht="15" hidden="false" customHeight="false" outlineLevel="0" collapsed="false">
      <c r="A6" s="23" t="s">
        <v>302</v>
      </c>
      <c r="B6" s="23" t="s">
        <v>617</v>
      </c>
      <c r="C6" s="23" t="s">
        <v>618</v>
      </c>
      <c r="D6" s="23" t="s">
        <v>18</v>
      </c>
      <c r="E6" s="23" t="s">
        <v>619</v>
      </c>
      <c r="F6" s="23" t="s">
        <v>130</v>
      </c>
    </row>
    <row r="7" customFormat="false" ht="15" hidden="false" customHeight="false" outlineLevel="0" collapsed="false">
      <c r="A7" s="23" t="s">
        <v>620</v>
      </c>
      <c r="B7" s="23" t="s">
        <v>605</v>
      </c>
      <c r="C7" s="23" t="s">
        <v>621</v>
      </c>
      <c r="D7" s="23" t="s">
        <v>12</v>
      </c>
      <c r="E7" s="23" t="s">
        <v>622</v>
      </c>
      <c r="F7" s="23" t="s">
        <v>623</v>
      </c>
    </row>
    <row r="8" customFormat="false" ht="15" hidden="false" customHeight="false" outlineLevel="0" collapsed="false">
      <c r="A8" s="23" t="s">
        <v>624</v>
      </c>
      <c r="B8" s="23" t="s">
        <v>625</v>
      </c>
      <c r="C8" s="23" t="s">
        <v>626</v>
      </c>
      <c r="D8" s="23" t="s">
        <v>30</v>
      </c>
      <c r="E8" s="23" t="s">
        <v>627</v>
      </c>
      <c r="F8" s="23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2026-03-08T15:04:41Z</dcterms:created>
  <dc:creator>openpyxl</dc:creator>
  <dc:description/>
  <dc:language>en-US</dc:language>
  <cp:lastModifiedBy/>
  <dcterms:modified xsi:type="dcterms:W3CDTF">2026-03-30T00:02:08Z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